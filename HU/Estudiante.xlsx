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 - Estudiante" sheetId="1" r:id="rId5"/>
  </sheets>
  <definedNames/>
  <calcPr/>
</workbook>
</file>

<file path=xl/sharedStrings.xml><?xml version="1.0" encoding="utf-8"?>
<sst xmlns="http://schemas.openxmlformats.org/spreadsheetml/2006/main" count="404" uniqueCount="325">
  <si>
    <t>ID</t>
  </si>
  <si>
    <t>Prioridad</t>
  </si>
  <si>
    <t>Épica</t>
  </si>
  <si>
    <t>Duo dinámico</t>
  </si>
  <si>
    <t>ESTADO</t>
  </si>
  <si>
    <t>Historia de usuario</t>
  </si>
  <si>
    <t>Puntos</t>
  </si>
  <si>
    <t>Justificación</t>
  </si>
  <si>
    <t>Criterio de aceptación</t>
  </si>
  <si>
    <t>Consideraciones</t>
  </si>
  <si>
    <t>Supuestos</t>
  </si>
  <si>
    <t>Flujo principal</t>
  </si>
  <si>
    <t>Flujo alterno</t>
  </si>
  <si>
    <t>Error</t>
  </si>
  <si>
    <t>HU-EST-01</t>
  </si>
  <si>
    <t>Alta</t>
  </si>
  <si>
    <t>Acceso a la Plataforma</t>
  </si>
  <si>
    <t>YA REALIZADO (falta la redireccion al sitio correspondiente)</t>
  </si>
  <si>
    <t>Completado</t>
  </si>
  <si>
    <t>Como estudiante, quiero iniciar sesión con mi cuenta de Google, para acceder a PathFinder sin necesidad de crear credenciales nuevas.</t>
  </si>
  <si>
    <t>Aunque el flujo es corto, implica integración con Google y manejo de sesión.</t>
  </si>
  <si>
    <t>Dado que el estudiante hace clic en "Iniciar sesión con Google" y se autentica correctamente, entonces el sistema verifica si ya tiene cuenta y lo redirige a su panel.</t>
  </si>
  <si>
    <t>Dado que el estudiante cierra la ventana de Google sin autenticarse, entonces el sistema lo mantiene en la pantalla de inicio sin generar errores.</t>
  </si>
  <si>
    <t>Dado que la autenticación con Google falla por un problema externo, entonces el sistema muestra un mensaje de error e invita a intentarlo de nuevo.</t>
  </si>
  <si>
    <t>Inicio de sesión con Google, validación de autenticación, cancelación y error externo.</t>
  </si>
  <si>
    <t>Se usa Google OAuth. No incluye registro manual ni recuperación de contraseña.</t>
  </si>
  <si>
    <t>HU-EST-02</t>
  </si>
  <si>
    <t>Como estudiante que ingresa por primera vez, quiero que la plataforma cree mi perfil inicial con mi cuenta de Google, para comenzar mi proceso sin registrar datos de acceso manualmente.</t>
  </si>
  <si>
    <t>Es una historia simple porque reutiliza datos obtenidos del inicio de sesión.</t>
  </si>
  <si>
    <t>Dado que el estudiante se autentica con Google y no tiene una cuenta registrada, entonces el sistema crea un perfil inicial con los datos disponibles de Google y lo redirige al módulo de carga de CV.</t>
  </si>
  <si>
    <t>Dado que algún dato de Google no pudo recuperarse, entonces el sistema permite continuar con el perfil inicial y completar la información faltante en las siguientes etapas del proceso.</t>
  </si>
  <si>
    <t>Dado que el sistema no puede crear el perfil inicial por un error interno, entonces muestra un mensaje de error y permite intentar nuevamente el acceso.</t>
  </si>
  <si>
    <t>Creación de perfil inicial para usuario nuevo con datos de Google.</t>
  </si>
  <si>
    <t>El login con Google ya está implementado. Solo se guardan datos básicos como nombre, apellido y correo.</t>
  </si>
  <si>
    <t>HU-EST-03</t>
  </si>
  <si>
    <t>Media</t>
  </si>
  <si>
    <t>Realizado</t>
  </si>
  <si>
    <t>Como estudiante registrado, quiero que la plataforma conserve mi perfil y mi avance, para retomar mi proceso desde el último punto guardado.</t>
  </si>
  <si>
    <t>Tiene complejidad media porque debe identificar el avance y dirigir al estudiante al punto correspondiente.</t>
  </si>
  <si>
    <t>Dado que el estudiante ya tiene una cuenta registrada, cuando inicia sesión correctamente con Google, entonces el sistema recupera su perfil, identifica el estado de su proceso y lo redirige al panel principal con su avance disponible.</t>
  </si>
  <si>
    <t>Dado que el estudiante registrado aún no ha iniciado ninguna etapa del proceso, cuando accede a la plataforma, entonces el sistema lo redirige al panel principal y le muestra las opciones disponibles para comenzar.</t>
  </si>
  <si>
    <t>Dado que ocurre un error al recuperar el perfil o el avance del estudiante, cuando intenta ingresar a la plataforma, entonces el sistema muestra un mensaje de error y permite intentar nuevamente sin modificar la información previamente guardada.</t>
  </si>
  <si>
    <t>Recuperación de perfil, avance y redirección según estado del estudiante.</t>
  </si>
  <si>
    <t>HU-EST-04</t>
  </si>
  <si>
    <t>Proceso de Selección: Perfil profesional</t>
  </si>
  <si>
    <t>JosephH-Miguel</t>
  </si>
  <si>
    <t>Como estudiante nuevo, quiero registrar mi información profesional mediante la carga de mi CV en PDF o mediante un formulario manual, para construir mi perfil inicial en PathFinder.</t>
  </si>
  <si>
    <t>Es una historia simple de selección de modalidad y redirección de flujo.</t>
  </si>
  <si>
    <t>Dado que el estudiante accede al módulo de carga de CV, cuando selecciona una modalidad de registro y completa la información solicitada, entonces el sistema registra la información inicial y la asocia a su perfil.</t>
  </si>
  <si>
    <t>Dado que el estudiante desea cambiar la modalidad seleccionada, cuando vuelve al módulo de carga de CV, entonces el sistema le permite elegir entre subir un CV en PDF o completar sus datos manualmente.</t>
  </si>
  <si>
    <t>Dado que el estudiante intenta continuar sin seleccionar una modalidad o sin completar la información mínima requerida, entonces el sistema no le permite avanzar y le indica qué debe completar.</t>
  </si>
  <si>
    <t>Elección entre registrar información profesional con CV en PDF o formulario manual.</t>
  </si>
  <si>
    <t>HU-EST-05</t>
  </si>
  <si>
    <t>Como estudiante que cuenta con un CV en PDF, quiero cargar mi documento en la plataforma, para que PathFinder pueda usarlo como fuente de información profesional.</t>
  </si>
  <si>
    <t>Tiene complejidad media por manejo de archivos y validaciones.</t>
  </si>
  <si>
    <t>Dado que el estudiante selecciona la opción de subir CV, cuando carga un archivo PDF válido, entonces el sistema registra el documento y lo deja disponible para su procesamiento.</t>
  </si>
  <si>
    <t>Dado que el estudiante desea reemplazar el archivo antes de continuar, cuando selecciona un nuevo documento, entonces el sistema actualiza el CV cargado.</t>
  </si>
  <si>
    <t>Dado que el archivo no está en formato PDF, excede el tamaño permitido o no puede cargarse, entonces el sistema no registra el documento y muestra la restricción correspondiente.</t>
  </si>
  <si>
    <t>Carga de CV en PDF, validación de formato, tamaño y reemplazo de archivo.</t>
  </si>
  <si>
    <t>Solo se aceptan archivos PDF bajo restricciones definidas.</t>
  </si>
  <si>
    <t>HU-EST-06</t>
  </si>
  <si>
    <t>Como estudiante que cargó un CV válido, quiero que la plataforma extraiga y organice mi información profesional, para revisar los datos antes de consolidar mi perfil.</t>
  </si>
  <si>
    <t>Es compleja por la lectura del PDF y la extracción automática de información.</t>
  </si>
  <si>
    <t>Dado que el estudiante cargó un CV válido, cuando el sistema procesa el documento, entonces extrae los datos identificados y los muestra organizados para su revisión.</t>
  </si>
  <si>
    <t>Dado que algunos datos no pudieron ser identificados en el CV, cuando se muestra la información capturada, entonces el sistema permite completar manualmente los campos faltantes.</t>
  </si>
  <si>
    <t>Dado que el archivo no puede procesarse o no contiene información reconocible, entonces el sistema informa la incidencia y permite cargar otro archivo o continuar con el registro manual.</t>
  </si>
  <si>
    <t>Procesamiento del CV cargado, extracción y organización de información profesional.</t>
  </si>
  <si>
    <t>Se usará un parser, IA o servicio definido para extraer datos del CV. Se permite completar campos faltantes.</t>
  </si>
  <si>
    <t>HU-EST-07</t>
  </si>
  <si>
    <t>Baja</t>
  </si>
  <si>
    <t>NO</t>
  </si>
  <si>
    <t>No iniciado</t>
  </si>
  <si>
    <t>Como estudiante que no cuenta con un CV en PDF, quiero que la plataforma genere un CV automático a partir de mis datos ingresados, para contar con una versión inicial de mi perfil profesional.</t>
  </si>
  <si>
    <t>Requiere formulario, validaciones y generación de una plantilla de CV.</t>
  </si>
  <si>
    <t>Dado que el estudiante completó sus datos manualmente, cuando guarda la información requerida, entonces el sistema genera un CV automático con los datos registrados.</t>
  </si>
  <si>
    <t>Dado que el estudiante desea modificar algún dato antes de generar el CV, cuando edita el formulario, entonces el sistema actualiza la información que será usada para generar el documento.</t>
  </si>
  <si>
    <t>Dado que la información ingresada es incompleta o inválida, entonces el sistema no genera el CV automático y señala los campos que deben corregirse.</t>
  </si>
  <si>
    <t>Registro manual de datos y generación de CV automático.</t>
  </si>
  <si>
    <t>La plantilla del CV ya está definida. No incluye edición avanzada de diseño.</t>
  </si>
  <si>
    <t>HU-EST-08</t>
  </si>
  <si>
    <t>Como estudiante, quiero revisar y corregir la información de mi perfil profesional, para asegurar que los datos registrados sean correctos antes de continuar.</t>
  </si>
  <si>
    <t>Es comparable a una edición de formulario con validaciones y actualización de datos.</t>
  </si>
  <si>
    <t>Dado que el sistema obtuvo información desde el CV cargado o desde el registro manual, cuando el estudiante accede a la revisión, entonces la plataforma le muestra los datos organizados y le permite validarlos.</t>
  </si>
  <si>
    <t>Dado que el estudiante identifica un dato incorrecto, cuando edita la información y guarda los cambios, entonces el sistema actualiza los datos de su perfil profesional.</t>
  </si>
  <si>
    <t>Dado que el estudiante intenta guardar cambios con campos obligatorios vacíos o inválidos, entonces el sistema no actualiza la información y muestra los campos que deben corregirse.</t>
  </si>
  <si>
    <t>Revisión y corrección de información profesional.</t>
  </si>
  <si>
    <t>Los campos del perfil profesional ya están definidos.</t>
  </si>
  <si>
    <t>HU-EST-09</t>
  </si>
  <si>
    <t>Como estudiante, quiero confirmar mi perfil profesional consolidado, para avanzar a las siguientes etapas del proceso de selección.</t>
  </si>
  <si>
    <t>Es una historia de cierre de etapa con baja complejidad funcional.</t>
  </si>
  <si>
    <t>Dado que el estudiante revisó y corrigió su información profesional, cuando confirma el perfil, entonces el sistema consolida los datos del usuario y registra la etapa como completada.</t>
  </si>
  <si>
    <t>Dado que el estudiante desea revisar nuevamente su información antes de confirmar, cuando vuelve a la pantalla anterior, entonces el sistema mantiene los datos registrados para que pueda verificarlos.</t>
  </si>
  <si>
    <t>Dado que el perfil no puede consolidarse por un error del sistema, entonces la plataforma muestra una incidencia y no marca la etapa como completada.</t>
  </si>
  <si>
    <t>Confirmación del perfil profesional consolidado.</t>
  </si>
  <si>
    <t>La información ya fue revisada previamente. Solo actualiza el estado de la etapa.</t>
  </si>
  <si>
    <t>HU-EST-10</t>
  </si>
  <si>
    <t>Proceso de Selección: Diagnóstico DISC</t>
  </si>
  <si>
    <t>Como estudiante, quiero acceder al test DISC cuando complete la etapa previa, para iniciar la evaluación de mi perfil conductual dentro del proceso de selección.</t>
  </si>
  <si>
    <t>Se centra en validar una precondición y habilitar acceso.</t>
  </si>
  <si>
    <t>Dado que el estudiante completó su perfil profesional, cuando ingresa a la etapa del test DISC, entonces el sistema habilita la evaluación y le permite comenzar a responder las preguntas.</t>
  </si>
  <si>
    <t>Dado que el estudiante ya inició anteriormente el test DISC, cuando vuelve a ingresar a la etapa, entonces el sistema le permite continuar desde el avance registrado.</t>
  </si>
  <si>
    <t>Dado que el estudiante intenta acceder al test DISC sin haber completado la etapa previa, entonces el sistema no habilita la evaluación y le indica que primero debe finalizar su perfil profesional.</t>
  </si>
  <si>
    <t>Acceso al test DISC después de completar la etapa previa.</t>
  </si>
  <si>
    <t>El perfil profesional consolidado ya queda registrado en el sistema.</t>
  </si>
  <si>
    <t>HU-EST-11</t>
  </si>
  <si>
    <t>Como estudiante, quiero responder las preguntas del test DISC de forma ordenada, para completar mi evaluación sin confundirme ni perder mi avance.</t>
  </si>
  <si>
    <t>Se elige como pivote por ser una historia media con interacción, avance y validaciones.</t>
  </si>
  <si>
    <t>Dado que el estudiante inició el test DISC, cuando responde las preguntas requeridas y finaliza la evaluación, entonces el sistema registra sus respuestas y las envía para su procesamiento.</t>
  </si>
  <si>
    <t>Dado que el estudiante necesita revisar una respuesta anterior, cuando retrocede dentro del test, entonces el sistema le permite modificarla y continuar con la evaluación.</t>
  </si>
  <si>
    <t>Dado que el estudiante intenta finalizar el test con preguntas obligatorias sin responder, entonces el sistema no permite concluir la evaluación y le indica qué preguntas faltan completar.</t>
  </si>
  <si>
    <t>Responder preguntas del test DISC, modificar respuestas y validar preguntas obligatorias.</t>
  </si>
  <si>
    <t>El banco de preguntas DISC ya está definido.</t>
  </si>
  <si>
    <t>HU-EST-12</t>
  </si>
  <si>
    <t>Como estudiante, quiero visualizar el resultado de mi perfil DISC y el resumen de habilidades generado, para comprender mejor mis características y continuar con el proceso.</t>
  </si>
  <si>
    <t>Es más compleja que el pivote porque incluye reglas de cálculo e interpretación del resultado.</t>
  </si>
  <si>
    <t>Dado que el estudiante finalizó el test DISC, cuando el sistema procesa sus respuestas, entonces genera el resultado del perfil DISC y muestra un resumen de habilidades asociado.</t>
  </si>
  <si>
    <t>Dado que el estudiante desea revisar nuevamente su resultado, cuando vuelve a ingresar a la etapa del test DISC, entonces el sistema le muestra el resultado previamente generado.</t>
  </si>
  <si>
    <t>Dado que ocurre un error al procesar las respuestas o generar el resultado, entonces el sistema informa la incidencia y no marca la etapa como completada hasta que el procesamiento sea exitoso.</t>
  </si>
  <si>
    <t>Procesamiento del test DISC y visualización de resultado y resumen de habilidades.</t>
  </si>
  <si>
    <t>La lógica para calcular el perfil DISC y asociar habilidades ya está definida.</t>
  </si>
  <si>
    <t>HU-EST-13</t>
  </si>
  <si>
    <t>Proceso de Selección: Entrevista Simulada</t>
  </si>
  <si>
    <t>Como estudiante, quiero acceder al módulo de entrevista cuando complete las etapas previas, para continuar con mi proceso de selección en PathFinder.</t>
  </si>
  <si>
    <t>Es una validación de acceso sencilla.</t>
  </si>
  <si>
    <t>Dado que el estudiante completó el perfil profesional y el test DISC, cuando ingresa al módulo de entrevista, entonces el sistema le muestra las opciones disponibles para iniciar el agendamiento.</t>
  </si>
  <si>
    <t>Dado que el estudiante ya tiene una entrevista agendada, cuando vuelve al módulo, entonces el sistema le muestra el estado de su entrevista.</t>
  </si>
  <si>
    <t>Dado que el estudiante intenta acceder sin completar las etapas previas, entonces el sistema no habilita el módulo y le indica qué etapa debe finalizar primero.</t>
  </si>
  <si>
    <t>Acceso al módulo de entrevista tras completar etapas previas.</t>
  </si>
  <si>
    <t>Perfil profesional y test DISC son etapas previas obligatorias.</t>
  </si>
  <si>
    <t>HU-EST-14</t>
  </si>
  <si>
    <t>Como estudiante, quiero seleccionar la modalidad, fecha y horario de mi entrevista, para agendarla según mi disponibilidad.</t>
  </si>
  <si>
    <t>Tiene complejidad por disponibilidad, selección de horarios y registro de agenda.</t>
  </si>
  <si>
    <t>Dado que el estudiante accede al módulo de entrevistas, cuando selecciona una modalidad disponible, una fecha y un horario, entonces el sistema registra la entrevista agendada.</t>
  </si>
  <si>
    <t>Dado que el estudiante desea cambiar la fecha u horario antes de confirmar, cuando vuelve a la selección de disponibilidad, entonces el sistema le permite elegir otra opción disponible.</t>
  </si>
  <si>
    <t>Dado que el estudiante intenta agendar sin seleccionar modalidad, fecha u horario, entonces el sistema no registra la entrevista y le indica qué información falta completar.</t>
  </si>
  <si>
    <t>Selección de modalidad, fecha y horario de entrevista.</t>
  </si>
  <si>
    <t>Los horarios disponibles ya fueron configurados por el sistema.</t>
  </si>
  <si>
    <t>HU-EST-15</t>
  </si>
  <si>
    <t>Como estudiante, quiero recibir por correo la información de mi entrevista agendada, para conocer la fecha, hora, modalidad y enlace de acceso correspondiente.</t>
  </si>
  <si>
    <t>Implica integración con correo y manejo de errores de envío.</t>
  </si>
  <si>
    <t>Dado que el estudiante agenda correctamente su entrevista, cuando el sistema confirma la programación, entonces envía a su correo la información de la entrevista, incluyendo fecha, hora, modalidad y enlace de Google Meet si corresponde.</t>
  </si>
  <si>
    <t>Dado que el estudiante necesita revisar nuevamente la información, cuando consulta el correo recibido, entonces puede visualizar los datos enviados para acceder a la entrevista.</t>
  </si>
  <si>
    <t>Dado que ocurre un error al enviar el correo de confirmación, entonces el sistema muestra una incidencia y mantiene registrada la entrevista agendada para que la información pueda ser reenviada o revisada posteriormente.</t>
  </si>
  <si>
    <t>Envío por correo de información de entrevista, incluyendo enlace de Google Meet.</t>
  </si>
  <si>
    <t>HU-EST-16</t>
  </si>
  <si>
    <t>Como estudiante, quiero consultar el resultado de mi entrevista, para conocer cómo me fue y recibir retroalimentación sobre mi desempeño.</t>
  </si>
  <si>
    <t>Es principalmente visualización de información ya registrada por otro actor.</t>
  </si>
  <si>
    <t>Dado que el estudiante ya realizó su entrevista y la evaluación fue registrada, cuando accede al módulo de entrevista, entonces el sistema le muestra el resultado y la retroalimentación correspondiente.</t>
  </si>
  <si>
    <t>Dado que el resultado aún no ha sido registrado, cuando el estudiante consulta el módulo de entrevista, entonces el sistema le muestra que la evaluación se encuentra pendiente, sin impedirle continuar con las siguientes etapas del proceso.</t>
  </si>
  <si>
    <t>Dado que ocurre un error al cargar el resultado de la entrevista, entonces el sistema muestra una incidencia y permite volver a consultar la información posteriormente.</t>
  </si>
  <si>
    <t>Consulta de resultado y retroalimentación de entrevista.</t>
  </si>
  <si>
    <t>El resultado no bloquea el avance del estudiante. La evaluación la registra un administrador o evaluador.</t>
  </si>
  <si>
    <t>HU-EST-17</t>
  </si>
  <si>
    <t>Evaluación de experiencia</t>
  </si>
  <si>
    <t>Como estudiante, quiero responder una encuesta de satisfacción al finalizar la simulación del proceso de selección, para compartir mi experiencia y ayudar a mejorar el proceso en PathFinder.</t>
  </si>
  <si>
    <t>Tiene complejidad media por formulario, validaciones, guardado y posibilidad de responder después.</t>
  </si>
  <si>
    <t>Dado que el estudiante ha completado la simulación del proceso de selección, cuando accede a la encuesta de satisfacción y responde las preguntas requeridas, entonces el sistema guarda sus respuestas y registra la encuesta como completada.</t>
  </si>
  <si>
    <t>Dado que el estudiante desea responder la encuesta en otro momento, cuando sale del módulo sin enviarla, entonces el sistema mantiene la encuesta disponible para que pueda completarla posteriormente.</t>
  </si>
  <si>
    <t>Dado que el estudiante intenta enviar la encuesta con preguntas obligatorias sin responder o ocurre un error al guardar las respuestas, entonces el sistema no registra el envío y le indica qué debe corregir o intentar nuevamente.</t>
  </si>
  <si>
    <t>Encuesta de satisfacción al finalizar el proceso de selección.</t>
  </si>
  <si>
    <t>Las preguntas de la encuesta ya están definidas. No incluye análisis de resultados para administradores.</t>
  </si>
  <si>
    <t>HU-EST-18</t>
  </si>
  <si>
    <t>Proceso de Entrenamiento: Exploración / Ruta</t>
  </si>
  <si>
    <t>Leonardo-Alexandra</t>
  </si>
  <si>
    <t>Como estudiante, quiero iniciar la etapa de exploración del entrenamiento, para conocer cómo funciona PathFinder antes de elegir una ruta de aprendizaje.</t>
  </si>
  <si>
    <t>Es una historia simple de presentación y navegación inicial.</t>
  </si>
  <si>
    <t>Dado que el estudiante finalizó el proceso de selección, cuando selecciona la opción “Comenzar exploración”, entonces el sistema muestra la pantalla introductoria del proceso de entrenamiento y le permite acceder al dashboard general.</t>
  </si>
  <si>
    <t>Dado que el estudiante ya ingresó anteriormente a la exploración, cuando vuelve a esta etapa, entonces el sistema lo dirige al dashboard general sin mostrar nuevamente la introducción obligatoria.</t>
  </si>
  <si>
    <t>Dado que ocurre un error al cargar la etapa de exploración, entonces el sistema muestra una incidencia y no permite avanzar hasta que la información se cargue correctamente.</t>
  </si>
  <si>
    <t>Inicio de exploración y pantalla introductoria del entrenamiento.</t>
  </si>
  <si>
    <t>HU-EST-19</t>
  </si>
  <si>
    <t>Como estudiante, quiero visualizar mi dashboard general de entrenamiento, para conocer mi estado inicial, notificaciones y opciones disponibles.</t>
  </si>
  <si>
    <t>Los dashboards suelen integrar varias fuentes de datos y reglas de visualización.</t>
  </si>
  <si>
    <t>Dado que el estudiante ingresa al dashboard general, cuando el sistema carga su información, entonces muestra su estado de avance, notificaciones y accesos disponibles para continuar la exploración.</t>
  </si>
  <si>
    <t>Dado que el estudiante aún no tiene avance registrado, cuando ingresa al dashboard general, entonces el sistema muestra el espacio inicial vacío y las opciones disponibles para comenzar.</t>
  </si>
  <si>
    <t>Dado que el sistema no puede recuperar la información del estudiante, entonces muestra un mensaje de error y permite intentar cargar nuevamente el dashboard.</t>
  </si>
  <si>
    <t>Dashboard general con avance, notificaciones y accesos disponibles.</t>
  </si>
  <si>
    <t>HU-EST-20</t>
  </si>
  <si>
    <t>Como estudiante, quiero explorar las áreas y subáreas disponibles, para identificar el camino de entrenamiento que se ajusta a mis intereses.</t>
  </si>
  <si>
    <t>Tiene complejidad media por carga dinámica de áreas y subáreas.</t>
  </si>
  <si>
    <t>Dado que el estudiante accede a la sección de exploración, cuando el sistema muestra las áreas disponibles, entonces puede seleccionar un área y visualizar sus subáreas asociadas.</t>
  </si>
  <si>
    <t>Dado que el estudiante desea revisar otra área, cuando cambia su selección, entonces el sistema actualiza las subáreas disponibles según el área elegida.</t>
  </si>
  <si>
    <t>Dado que no se pueden cargar las áreas o subáreas disponibles, entonces el sistema muestra una incidencia y no permite seleccionar una opción hasta que la información esté disponible.</t>
  </si>
  <si>
    <t>Exploración de áreas y subáreas disponibles.</t>
  </si>
  <si>
    <t>Las áreas y subáreas ya están registradas en la base de datos.</t>
  </si>
  <si>
    <t>HU-EST-21</t>
  </si>
  <si>
    <t>Como estudiante, quiero consultar la descripción de una subárea antes de iniciar, para entender qué habilidades trabajaré en esa ruta.</t>
  </si>
  <si>
    <t>Requiere mostrar información y decidir si se muestra descripción inicial o dashboard de subárea.</t>
  </si>
  <si>
    <t>Dado que el estudiante selecciona una subárea por primera vez, cuando accede a su información, entonces el sistema muestra la descripción, objetivos y habilidades relacionadas con esa subárea.</t>
  </si>
  <si>
    <t>Dado que el estudiante ya había ingresado antes a esa subárea, cuando la selecciona nuevamente, entonces el sistema carga directamente el dashboard de la subárea con su avance registrado.</t>
  </si>
  <si>
    <t>Dado que la descripción de la subárea no puede cargarse, entonces el sistema muestra una incidencia y permite volver a la lista de áreas y subáreas.</t>
  </si>
  <si>
    <t>Consulta de descripción de subárea y validación de ingreso previo.</t>
  </si>
  <si>
    <t>HU-EST-22</t>
  </si>
  <si>
    <t>Como estudiante, quiero realizar un diagnóstico inicial de la subárea seleccionada, para conocer mi nivel de habilidades antes de iniciar el entrenamiento.</t>
  </si>
  <si>
    <t>Es comparable al pivote porque funciona como una evaluación con avance y validaciones.</t>
  </si>
  <si>
    <t>Dado que el estudiante ingresa por primera vez a una subárea, cuando inicia y completa el diagnóstico inicial, entonces el sistema registra sus respuestas y procesa sus resultados.</t>
  </si>
  <si>
    <t>Dado que el estudiante necesita pausar el diagnóstico antes de terminarlo, cuando vuelve posteriormente, entonces el sistema le permite continuar desde el avance registrado.</t>
  </si>
  <si>
    <t>Dado que el estudiante intenta finalizar el diagnóstico con preguntas obligatorias sin responder, entonces el sistema no procesa el resultado y le indica qué debe completar.</t>
  </si>
  <si>
    <t>Diagnóstico inicial de subárea, guardado de respuestas y continuación posterior.</t>
  </si>
  <si>
    <t>Las preguntas del diagnóstico inicial ya están definidas por subárea.</t>
  </si>
  <si>
    <t>HU-EST-23</t>
  </si>
  <si>
    <t>Como estudiante, quiero visualizar mi informe diagnóstico inicial, para conocer mis habilidades actuales y prepararme para elegir cómo continuar mi entrenamiento.</t>
  </si>
  <si>
    <t>Requiere procesar respuestas y presentar un informe de habilidades.</t>
  </si>
  <si>
    <t>Dado que el estudiante completó el diagnóstico inicial, cuando el sistema procesa sus respuestas, entonces genera y muestra un informe inicial de habilidades asociado a la subárea.</t>
  </si>
  <si>
    <t>Dado que el estudiante desea revisar nuevamente su informe, cuando accede al dashboard de la subárea, entonces el sistema le permite consultar el informe diagnóstico generado.</t>
  </si>
  <si>
    <t>Dado que ocurre un error al generar o cargar el informe diagnóstico, entonces el sistema muestra una incidencia y permite volver a intentar la visualización posteriormente.</t>
  </si>
  <si>
    <t>Generación y visualización del informe diagnóstico inicial.</t>
  </si>
  <si>
    <t>Las reglas para interpretar el diagnóstico ya están definidas.</t>
  </si>
  <si>
    <t>HU-EST-24</t>
  </si>
  <si>
    <t>Proceso de Entrenamiento: PathSkill</t>
  </si>
  <si>
    <t>Como estudiante, quiero seleccionar PathSkill dentro de una subárea, para acceder a cursos y recursos recomendados según mi diagnóstico.</t>
  </si>
  <si>
    <t>Se mantiene en 8 si las recomendaciones dependen del diagnóstico o habilidades del estudiante.</t>
  </si>
  <si>
    <t>Dado que el estudiante se encuentra en el dashboard de una subárea, cuando selecciona la opción PathSkill, entonces el sistema muestra los cursos y recursos recomendados para fortalecer sus habilidades.</t>
  </si>
  <si>
    <t>Dado que el estudiante desea revisar otra opción antes de continuar, cuando vuelve al dashboard de la subárea, entonces el sistema mantiene disponibles las alternativas de entrenamiento.</t>
  </si>
  <si>
    <t>Dado que no se pueden cargar los cursos o recursos recomendados, entonces el sistema muestra una incidencia y permite intentar nuevamente.</t>
  </si>
  <si>
    <t>Selección de PathSkill y visualización de cursos o recursos recomendados.</t>
  </si>
  <si>
    <t>Los cursos están registrados y vinculados a subáreas, habilidades o resultados diagnósticos.</t>
  </si>
  <si>
    <t>HU-EST-25</t>
  </si>
  <si>
    <t>Como estudiante, quiero seleccionar un curso o recurso recomendado, para acceder al contenido externo que me ayudará a mejorar mis habilidades.</t>
  </si>
  <si>
    <t>Es simple porque PathFinder solo muestra el recurso y redirige.</t>
  </si>
  <si>
    <t>Dado que el estudiante visualiza los cursos y recursos recomendados, cuando selecciona uno de ellos, entonces el sistema lo redirige a la plataforma externa correspondiente.</t>
  </si>
  <si>
    <t>Dado que el estudiante desea revisar otra recomendación, cuando vuelve a la lista de cursos y recursos, entonces el sistema le permite seleccionar una opción distinta.</t>
  </si>
  <si>
    <t>Dado que el enlace externo no está disponible o no puede abrirse, entonces el sistema muestra una incidencia y mantiene al estudiante en la lista de recomendaciones.</t>
  </si>
  <si>
    <t>Selección de curso o recurso y redirección a plataforma externa.</t>
  </si>
  <si>
    <t>PathFinder no controla la realización del curso externo.</t>
  </si>
  <si>
    <t>HU-EST-26</t>
  </si>
  <si>
    <t>Como estudiante, quiero subir el certificado o evidencia del curso realizado, para demostrar que completé el recurso recomendado.</t>
  </si>
  <si>
    <t>Tiene complejidad media por subida, reemplazo y validación básica de archivo.</t>
  </si>
  <si>
    <t>Dado que el estudiante finalizó un curso o recurso externo, cuando sube el certificado o evidencia correspondiente, entonces el sistema registra el archivo y lo envía para validación.</t>
  </si>
  <si>
    <t>Dado que el estudiante desea reemplazar la evidencia antes de enviarla, cuando selecciona un nuevo archivo, entonces el sistema actualiza la evidencia cargada.</t>
  </si>
  <si>
    <t>Dado que el archivo no cumple el formato permitido, excede el tamaño máximo o no puede cargarse, entonces el sistema no registra la evidencia y muestra la restricción correspondiente.</t>
  </si>
  <si>
    <t>Carga de certificado o evidencia del curso realizado.</t>
  </si>
  <si>
    <t>Los formatos y tamaños permitidos ya están definidos.</t>
  </si>
  <si>
    <t>HU-EST-27</t>
  </si>
  <si>
    <t>Como estudiante, quiero conocer si mi certificado o evidencia fue validado, para saber si el recurso completado fue reconocido por la plataforma.</t>
  </si>
  <si>
    <t>Es compleja por la validación del contenido y posibles reglas automáticas o con IA.</t>
  </si>
  <si>
    <t>Dado que el estudiante subió una evidencia válida, cuando el sistema completa la validación, entonces muestra si la evidencia fue aceptada y registra el resultado de validación.</t>
  </si>
  <si>
    <t>Dado que la evidencia no es validada, cuando el sistema informa el resultado, entonces solicita al estudiante cargar una nueva evidencia para completar la validación.</t>
  </si>
  <si>
    <t>Dado que ocurre un error durante la validación de la evidencia, entonces el sistema muestra una incidencia y mantiene la validación pendiente hasta que pueda completarse correctamente.</t>
  </si>
  <si>
    <t>Validación de certificado o evidencia.</t>
  </si>
  <si>
    <t>HU-EST-28</t>
  </si>
  <si>
    <t>Como estudiante, quiero que mi progreso, XP e insignias se actualicen después de una validación exitosa, para visualizar el avance obtenido en PathSkill.</t>
  </si>
  <si>
    <t>Requiere aplicar reglas de gamificación y actualizar el avance del estudiante.</t>
  </si>
  <si>
    <t>Dado que la evidencia del estudiante fue validada correctamente, cuando el sistema procesa el reconocimiento del curso, entonces actualiza sus habilidades, progreso, XP e insignias obtenidas.</t>
  </si>
  <si>
    <t>Dado que la validación aún está pendiente, cuando el estudiante consulta su progreso, entonces el sistema mantiene el avance sin actualizar y muestra el estado pendiente.</t>
  </si>
  <si>
    <t>Dado que ocurre un error al actualizar el progreso o las recompensas, entonces el sistema muestra una incidencia y conserva el avance pendiente de actualización.</t>
  </si>
  <si>
    <t>Actualización de progreso, XP e insignias tras validación exitosa.</t>
  </si>
  <si>
    <t>Las reglas de XP, progreso e insignias ya están definidas.</t>
  </si>
  <si>
    <t>HU-EST-29</t>
  </si>
  <si>
    <t>Proceso de Entrenamiento: PathChallenge</t>
  </si>
  <si>
    <t>Como estudiante, quiero seleccionar PathChallenge dentro de una subárea, para acceder a misiones prácticas que me permitan aplicar mis habilidades.</t>
  </si>
  <si>
    <t>Tiene complejidad media por cargar misiones según subárea y estado del estudiante.</t>
  </si>
  <si>
    <t>Dado que el estudiante se encuentra en el dashboard de una subárea, cuando selecciona la opción PathChallenge, entonces el sistema muestra el dashboard de misiones disponibles.</t>
  </si>
  <si>
    <t>Dado que el estudiante desea revisar otra opción de entrenamiento, cuando vuelve al dashboard de la subárea, entonces el sistema mantiene disponibles las alternativas PathSkill y PathChallenge.</t>
  </si>
  <si>
    <t>Dado que no se pueden cargar las misiones disponibles, entonces el sistema muestra una incidencia y permite intentar nuevamente.</t>
  </si>
  <si>
    <t>Selección de PathChallenge y visualización de misiones disponibles.</t>
  </si>
  <si>
    <t>Las misiones ya están registradas y asociadas a subáreas o habilidades.</t>
  </si>
  <si>
    <t>HU-EST-30</t>
  </si>
  <si>
    <t>Como estudiante, quiero seleccionar una misión y revisar su briefing, para entender el reto, los objetivos y las indicaciones antes de realizarla.</t>
  </si>
  <si>
    <t>Es una historia simple de consulta de información.</t>
  </si>
  <si>
    <t>Dado que el estudiante visualiza el dashboard de misiones, cuando selecciona una misión disponible, entonces el sistema muestra el briefing con la descripción, objetivos e instrucciones correspondientes.</t>
  </si>
  <si>
    <t>Dado que el estudiante desea elegir otra misión, cuando vuelve al dashboard de misiones, entonces el sistema le permite seleccionar una misión distinta.</t>
  </si>
  <si>
    <t>Dado que el briefing de la misión no puede cargarse, entonces el sistema muestra una incidencia y permite volver al dashboard de misiones.</t>
  </si>
  <si>
    <t>Selección de misión y revisión de briefing.</t>
  </si>
  <si>
    <t>El briefing de cada misión ya está definido.</t>
  </si>
  <si>
    <t>HU-EST-31</t>
  </si>
  <si>
    <t>Como estudiante, quiero realizar una misión asignada, para demostrar mis habilidades mediante un reto práctico dentro de la subárea seleccionada.</t>
  </si>
  <si>
    <t>Es compleja por manejo de entregables, avance parcial y validación de requisitos.</t>
  </si>
  <si>
    <t>Dado que el estudiante revisó el briefing de la misión, cuando realiza la misión y registra su avance o entrega correspondiente, entonces el sistema guarda el progreso de la misión.</t>
  </si>
  <si>
    <t>Dado que el estudiante no termina la misión en una sola sesión, cuando vuelve posteriormente, entonces el sistema le permite continuar desde el avance registrado.</t>
  </si>
  <si>
    <t>Dado que el estudiante intenta finalizar la misión sin completar los elementos requeridos, entonces el sistema no registra la misión como completada y le indica qué falta realizar.</t>
  </si>
  <si>
    <t>Realización de misión, registro de avance o entrega y continuación posterior.</t>
  </si>
  <si>
    <t>El tipo de entrega de la misión ya está definido. No incluye evaluación compleja por mentor.</t>
  </si>
  <si>
    <t>HU-EST-32</t>
  </si>
  <si>
    <t>Como estudiante, quiero visualizar mi progreso actualizado después de completar una misión, para conocer los avances, XP e insignias obtenidas.</t>
  </si>
  <si>
    <t>Incluye actualización de habilidades, progreso, XP e insignias.</t>
  </si>
  <si>
    <t>Dado que el estudiante completó una misión correctamente, cuando el sistema procesa su avance, entonces actualiza sus habilidades, progreso, XP e insignias, y muestra el progreso actualizado de la subárea.</t>
  </si>
  <si>
    <t>Dado que el estudiante completa parcialmente una misión, cuando consulta su progreso, entonces el sistema muestra el avance alcanzado sin marcar la misión como completada.</t>
  </si>
  <si>
    <t>Dado que ocurre un error al actualizar el progreso, entonces el sistema muestra una incidencia y conserva el avance pendiente de actualización.</t>
  </si>
  <si>
    <t>Visualización de progreso actualizado después de completar misión.</t>
  </si>
  <si>
    <t>Las reglas de progreso y recompensas se reutilizan del módulo de entrenamiento.</t>
  </si>
  <si>
    <t>HU-EST-33</t>
  </si>
  <si>
    <t>Mi Progreso</t>
  </si>
  <si>
    <t>Como estudiante, quiero acceder a la sección "Mi Progreso", para visualizar de forma consolidada mi nivel actual, mi experiencia total (XP) y las insignias que he ganado en toda la plataforma.</t>
  </si>
  <si>
    <t>Es una visualización consolidada de datos que ya son calculados y almacenados por otros módulos al completar tareas.</t>
  </si>
  <si>
    <t>Dado que el estudiante tiene avance en la plataforma, cuando accede a la sección "Mi Progreso", entonces el sistema carga y muestra su nivel actual, experiencia total y la vitrina de insignias obtenidas.</t>
  </si>
  <si>
    <t>Dado que el estudiante acaba de iniciar y no tiene XP ni insignias, cuando accede a "Mi Progreso", entonces el sistema muestra su nivel en cero y un mensaje motivacional para empezar a ganar experiencia.</t>
  </si>
  <si>
    <t>Dado que ocurre un error al calcular los puntos o recuperar las insignias, entonces el sistema muestra un mensaje de incidencia y permite recargar la página.</t>
  </si>
  <si>
    <t>Carga del resumen global, cálculo de nivel basado en XP, visualización de vitrina de insignias. Manejo de estado vacío (cuando el usuario es nuevo).</t>
  </si>
  <si>
    <t>La lógica de niveles (ej. 0-100 XP = Nivel 1) y el motor de gamificación ya están definidos a nivel de base de datos.</t>
  </si>
  <si>
    <t>HU-EST-34</t>
  </si>
  <si>
    <t>Como estudiante, quiero visualizar el porcentaje de avance general en mis rutas de PathSkill y PathChallenge, para saber cuánto me falta para completar mi entrenamiento.</t>
  </si>
  <si>
    <t>Requiere cálculos estadísticos simples pero que cruzan información entre distintos módulos (cursos externos y retos internos).</t>
  </si>
  <si>
    <t>Dado que el estudiante está inscrito en rutas de entrenamiento, cuando consulta su progreso, entonces el sistema calcula y muestra gráficamente el porcentaje de avance general basado en las misiones y cursos completados.</t>
  </si>
  <si>
    <t>Dado que el estudiante no ha iniciado ninguna ruta de entrenamiento, cuando consulta su avance, entonces el sistema le muestra un progreso del 0% y le sugiere explorar áreas para comenzar.</t>
  </si>
  <si>
    <t>Dado que ocurre un error al obtener la cantidad de misiones completadas, entonces el sistema muestra una alerta de incidencia y no grafica el porcentaje hasta que se resuelva.</t>
  </si>
  <si>
    <t>Cálculo de % completado sobre el total de misiones/cursos de la ruta elegida. Uso de gráficas (ej. barras de progreso visuales).</t>
  </si>
  <si>
    <t>El estudiante ya está inscrito en al menos una ruta o subárea para tener un total (100%) sobre el cual calcular el avance.</t>
  </si>
  <si>
    <t>HU-EST-35</t>
  </si>
  <si>
    <t>Dashboard</t>
  </si>
  <si>
    <t>Como estudiante, quiero ver los "Próximos pasos sugeridos" en mi panel principal, para saber fácilmente qué actividad o misión me toca realizar a continuación.</t>
  </si>
  <si>
    <t>Implica un motor de reglas o lógica condicional dinámica que debe consultar el historial del estudiante en la plataforma para saber qué sigue.</t>
  </si>
  <si>
    <t>Dado que el estudiante tiene actividades pendientes o rutas activas, cuando ingresa a su panel principal, entonces el sistema evalúa su estado y le muestra un acceso directo a la siguiente misión o curso sugerido.</t>
  </si>
  <si>
    <t>Dado que el estudiante ha completado todas sus rutas y no tiene actividades pendientes, cuando ingresa a su panel, entonces el sistema le sugiere explorar nuevas áreas de entrenamiento.</t>
  </si>
  <si>
    <t>Dado que el sistema no puede determinar el estado por un fallo interno, entonces oculta la sección de recomendaciones e indica que intente cargarla más tarde.</t>
  </si>
  <si>
    <t>Lógica condicional de recomendación de la siguiente actividad basada en el estado actual (ej. si terminó X, mostrar Y). Manejo de estado finalizado.</t>
  </si>
  <si>
    <t>Existe un mapa de dependencias claro (prerrequisitos) entre las actividades para que el sistema pueda hacer recomendaciones lógicas.</t>
  </si>
  <si>
    <t>HU-EST-36</t>
  </si>
  <si>
    <t>Como estudiante, quiero recibir feedback automático inmediato al finalizar una etapa o reto, para conocer un resumen de mis fortalezas y áreas de mejora sin esperar a un mentor.</t>
  </si>
  <si>
    <t>Es principalmente una vista de resultados procesados por el sistema tras una acción, con complejidad media por el cruce de variables.</t>
  </si>
  <si>
    <t>Dado que el estudiante acaba de completar un reto o evaluación, cuando el sistema procesa su resultado, entonces genera y muestra en pantalla un resumen automático con sus fortalezas y áreas de mejora.</t>
  </si>
  <si>
    <t>Dado que el estudiante revisa su historial de actividades pasadas en el dashboard, cuando selecciona un reto previo, entonces el sistema le vuelve a mostrar el feedback automático generado en ese momento.</t>
  </si>
  <si>
    <t>Dado que las reglas de evaluación fallan al generar la retroalimentación, entonces el sistema guarda el reto como completado pero muestra un mensaje indicando que el feedback estará disponible pronto.</t>
  </si>
  <si>
    <t>Generación de resumen de retroalimentación inmediata cruzando los resultados obtenidos. Visualización desde el historial de actividades pasadas.</t>
  </si>
  <si>
    <t>Las reglas del feedback automático (qué mensaje mostrar si saca X puntaje o completa Y reto) ya están configuradas en el sistema.</t>
  </si>
  <si>
    <t>HU-EST-37</t>
  </si>
  <si>
    <t>Como estudiante, quiero poder cerrar mi sesión de forma segura, para proteger mi información personal y progreso cuando deje de usar la plataforma.</t>
  </si>
  <si>
    <t>Es una historia estándar de seguridad web con baja complejidad técnica, generalmente cubierta por el framework utilizado.</t>
  </si>
  <si>
    <t>Dado que el estudiante tiene una sesión activa, cuando hace clic en "Cerrar sesión", entonces el sistema destruye los datos de autenticación y lo redirige a la pantalla de inicio (landing page).</t>
  </si>
  <si>
    <t>Dado que la sesión del estudiante expira por inactividad prolongada, entonces el sistema cierra la sesión automáticamente y lo redirige a la pantalla de login con un mensaje informativo.</t>
  </si>
  <si>
    <t>Dado que ocurre un problema de red al intentar cerrar sesión, entonces el sistema fuerza la limpieza local de datos (cookies/tokens) para garantizar que el usuario quede desconectado por seguridad.</t>
  </si>
  <si>
    <t>Destrucción de tokens de sesión, limpieza de cookies, redirección al landing page y manejo de expiración por inactividad.</t>
  </si>
  <si>
    <t>El sistema de autenticación (Google OAuth/JWT) permite la revocación y limpieza segura de la sesión en el navegador del cliente.</t>
  </si>
  <si>
    <t>Joseph H - Miguel</t>
  </si>
  <si>
    <t>Leonardo - Alexandra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</si>
</sst>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F3F3F3"/>
      <name val="Arial"/>
      <scheme val="minor"/>
    </font>
    <font>
      <b/>
      <sz val="10.0"/>
      <color rgb="FFF3F3F3"/>
      <name val="Arial"/>
      <scheme val="minor"/>
    </font>
    <font/>
    <font>
      <b/>
      <color theme="1"/>
      <name val="Arial"/>
      <scheme val="minor"/>
    </font>
    <font>
      <color theme="1"/>
      <name val="Arial"/>
      <scheme val="minor"/>
    </font>
    <font>
      <sz val="14.0"/>
      <color theme="1"/>
      <name val="Arial"/>
      <scheme val="minor"/>
    </font>
    <font>
      <sz val="10.0"/>
      <color theme="1"/>
      <name val="Arial"/>
      <scheme val="minor"/>
    </font>
    <font>
      <sz val="14.0"/>
      <color theme="1"/>
      <name val="Arial"/>
    </font>
  </fonts>
  <fills count="10">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E06666"/>
        <bgColor rgb="FFE06666"/>
      </patternFill>
    </fill>
    <fill>
      <patternFill patternType="solid">
        <fgColor rgb="FFF6F8F9"/>
        <bgColor rgb="FFF6F8F9"/>
      </patternFill>
    </fill>
    <fill>
      <patternFill patternType="solid">
        <fgColor rgb="FFF1C232"/>
        <bgColor rgb="FFF1C232"/>
      </patternFill>
    </fill>
    <fill>
      <patternFill patternType="solid">
        <fgColor rgb="FF93C47D"/>
        <bgColor rgb="FF93C47D"/>
      </patternFill>
    </fill>
    <fill>
      <patternFill patternType="solid">
        <fgColor rgb="FFD0E0E3"/>
        <bgColor rgb="FFD0E0E3"/>
      </patternFill>
    </fill>
    <fill>
      <patternFill patternType="solid">
        <fgColor rgb="FFFFD966"/>
        <bgColor rgb="FFFFD966"/>
      </patternFill>
    </fill>
  </fills>
  <borders count="18">
    <border/>
    <border>
      <left style="thin">
        <color rgb="FF999999"/>
      </left>
      <right style="thin">
        <color rgb="FF999999"/>
      </right>
      <top style="thin">
        <color rgb="FF999999"/>
      </top>
    </border>
    <border>
      <left style="thin">
        <color rgb="FF999999"/>
      </left>
      <top style="thin">
        <color rgb="FF999999"/>
      </top>
    </border>
    <border>
      <left style="thin">
        <color rgb="FF000000"/>
      </left>
      <right style="thin">
        <color rgb="FF000000"/>
      </right>
      <top style="thin">
        <color rgb="FF000000"/>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bottom style="thin">
        <color rgb="FF999999"/>
      </bottom>
    </border>
    <border>
      <left style="thin">
        <color rgb="FF999999"/>
      </left>
      <bottom style="thin">
        <color rgb="FF999999"/>
      </bottom>
    </border>
    <border>
      <left style="thin">
        <color rgb="FF000000"/>
      </left>
      <right style="thin">
        <color rgb="FF000000"/>
      </right>
      <bottom style="thin">
        <color rgb="FF000000"/>
      </bottom>
    </border>
    <border>
      <right style="thin">
        <color rgb="FF999999"/>
      </right>
      <bottom style="thin">
        <color rgb="FF999999"/>
      </bottom>
    </border>
    <border>
      <left style="thin">
        <color rgb="FF999999"/>
      </left>
      <right style="thin">
        <color rgb="FF999999"/>
      </right>
    </border>
    <border>
      <left style="thin">
        <color rgb="FF999999"/>
      </left>
      <right style="thin">
        <color rgb="FF999999"/>
      </right>
      <top style="thin">
        <color rgb="FF999999"/>
      </top>
      <bottom style="thin">
        <color rgb="FF999999"/>
      </bottom>
    </border>
    <border>
      <left style="thin">
        <color rgb="FF666666"/>
      </left>
      <right style="thin">
        <color rgb="FF666666"/>
      </right>
      <top style="thin">
        <color rgb="FF666666"/>
      </top>
      <bottom style="thin">
        <color rgb="FF666666"/>
      </bottom>
    </border>
    <border>
      <left style="thin">
        <color rgb="FF999999"/>
      </left>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4" fillId="2" fontId="2" numFmtId="0" xfId="0" applyAlignment="1" applyBorder="1" applyFont="1">
      <alignment horizontal="center" readingOrder="0" shrinkToFit="0" vertical="center" wrapText="1"/>
    </xf>
    <xf borderId="1" fillId="2" fontId="1" numFmtId="0" xfId="0" applyAlignment="1" applyBorder="1" applyFont="1">
      <alignment horizontal="center" readingOrder="0" vertical="center"/>
    </xf>
    <xf borderId="5" fillId="2" fontId="1" numFmtId="0" xfId="0" applyAlignment="1" applyBorder="1" applyFont="1">
      <alignment horizontal="center" readingOrder="0" shrinkToFit="0" vertical="center" wrapText="1"/>
    </xf>
    <xf borderId="6" fillId="0" fontId="3" numFmtId="0" xfId="0" applyBorder="1" applyFont="1"/>
    <xf borderId="7" fillId="0" fontId="3" numFmtId="0" xfId="0" applyBorder="1" applyFont="1"/>
    <xf borderId="0" fillId="0" fontId="4" numFmtId="0" xfId="0"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3" fontId="5" numFmtId="0" xfId="0" applyAlignment="1" applyBorder="1" applyFill="1" applyFont="1">
      <alignment shrinkToFit="0" vertical="center" wrapText="1"/>
    </xf>
    <xf borderId="13" fillId="4" fontId="5" numFmtId="0" xfId="0" applyAlignment="1" applyBorder="1" applyFill="1" applyFont="1">
      <alignment readingOrder="0" shrinkToFit="0" vertical="center" wrapText="1"/>
    </xf>
    <xf borderId="2" fillId="3" fontId="5" numFmtId="0" xfId="0" applyAlignment="1" applyBorder="1" applyFont="1">
      <alignment readingOrder="0" shrinkToFit="0" vertical="center" wrapText="1"/>
    </xf>
    <xf borderId="3" fillId="3" fontId="6" numFmtId="0" xfId="0" applyAlignment="1" applyBorder="1" applyFont="1">
      <alignment horizontal="center" readingOrder="0" shrinkToFit="0" vertical="center" wrapText="1"/>
    </xf>
    <xf borderId="4" fillId="3" fontId="7" numFmtId="0" xfId="0" applyAlignment="1" applyBorder="1" applyFont="1">
      <alignment horizontal="center" readingOrder="0" shrinkToFit="0" vertical="center" wrapText="1"/>
    </xf>
    <xf borderId="13" fillId="3" fontId="5" numFmtId="0" xfId="0" applyAlignment="1" applyBorder="1" applyFont="1">
      <alignment readingOrder="0" shrinkToFit="0" vertical="center" wrapText="1"/>
    </xf>
    <xf borderId="14" fillId="3" fontId="5" numFmtId="0" xfId="0" applyAlignment="1" applyBorder="1" applyFont="1">
      <alignment readingOrder="0" shrinkToFit="0" vertical="center" wrapText="1"/>
    </xf>
    <xf borderId="15" fillId="5" fontId="3" numFmtId="0" xfId="0" applyBorder="1" applyFill="1" applyFont="1"/>
    <xf borderId="10" fillId="5" fontId="3" numFmtId="0" xfId="0" applyBorder="1" applyFont="1"/>
    <xf borderId="14" fillId="5" fontId="5" numFmtId="0" xfId="0" applyAlignment="1" applyBorder="1" applyFont="1">
      <alignment readingOrder="0" shrinkToFit="0" vertical="center" wrapText="1"/>
    </xf>
    <xf borderId="13" fillId="6" fontId="5" numFmtId="0" xfId="0" applyAlignment="1" applyBorder="1" applyFill="1" applyFont="1">
      <alignment readingOrder="0" shrinkToFit="0" vertical="center" wrapText="1"/>
    </xf>
    <xf borderId="9" fillId="3" fontId="3" numFmtId="0" xfId="0" applyBorder="1" applyFont="1"/>
    <xf borderId="16" fillId="3" fontId="6" numFmtId="0" xfId="0" applyAlignment="1" applyBorder="1" applyFont="1">
      <alignment horizontal="center" readingOrder="0" shrinkToFit="0" vertical="center" wrapText="1"/>
    </xf>
    <xf borderId="15" fillId="3" fontId="3" numFmtId="0" xfId="0" applyBorder="1" applyFont="1"/>
    <xf borderId="17" fillId="3" fontId="3" numFmtId="0" xfId="0" applyBorder="1" applyFont="1"/>
    <xf borderId="13" fillId="7" fontId="5" numFmtId="0" xfId="0" applyAlignment="1" applyBorder="1" applyFill="1" applyFont="1">
      <alignment readingOrder="0" shrinkToFit="0" vertical="center" wrapText="1"/>
    </xf>
    <xf borderId="10" fillId="3" fontId="3" numFmtId="0" xfId="0" applyBorder="1" applyFont="1"/>
    <xf borderId="14" fillId="8" fontId="5" numFmtId="0" xfId="0" applyAlignment="1" applyBorder="1" applyFill="1" applyFont="1">
      <alignment readingOrder="0" shrinkToFit="0" vertical="center" wrapText="1"/>
    </xf>
    <xf borderId="9" fillId="5" fontId="3" numFmtId="0" xfId="0" applyBorder="1" applyFont="1"/>
    <xf borderId="17" fillId="5" fontId="3" numFmtId="0" xfId="0" applyBorder="1" applyFont="1"/>
    <xf borderId="5" fillId="3" fontId="5" numFmtId="0" xfId="0" applyAlignment="1" applyBorder="1" applyFont="1">
      <alignment readingOrder="0" shrinkToFit="0" vertical="center" wrapText="1"/>
    </xf>
    <xf borderId="3" fillId="3" fontId="6" numFmtId="0" xfId="0" applyAlignment="1" applyBorder="1" applyFont="1">
      <alignment horizontal="center" readingOrder="0" vertical="center"/>
    </xf>
    <xf borderId="13" fillId="9" fontId="5" numFmtId="0" xfId="0" applyAlignment="1" applyBorder="1" applyFill="1" applyFont="1">
      <alignment readingOrder="0" shrinkToFit="0" vertical="center" wrapText="1"/>
    </xf>
    <xf borderId="16" fillId="3" fontId="8" numFmtId="0" xfId="0" applyAlignment="1" applyBorder="1" applyFont="1">
      <alignment horizontal="center" readingOrder="0" vertical="center"/>
    </xf>
    <xf borderId="0" fillId="5" fontId="5" numFmtId="0" xfId="0" applyAlignment="1" applyFont="1">
      <alignment readingOrder="0" shrinkToFit="0" vertical="center" wrapText="1"/>
    </xf>
    <xf borderId="0" fillId="5" fontId="6" numFmtId="0" xfId="0" applyAlignment="1" applyFont="1">
      <alignment horizontal="center" readingOrder="0" shrinkToFit="0" vertical="center" wrapText="1"/>
    </xf>
    <xf borderId="0" fillId="5" fontId="7"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7" numFmtId="0" xfId="0" applyAlignment="1" applyFont="1">
      <alignment vertical="center"/>
    </xf>
    <xf borderId="0" fillId="0" fontId="5" numFmtId="0" xfId="0" applyAlignment="1" applyFont="1">
      <alignment readingOrder="0"/>
    </xf>
    <xf borderId="0" fillId="0" fontId="5"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15.63"/>
    <col customWidth="1" min="3" max="3" width="27.63"/>
    <col customWidth="1" min="4" max="4" width="28.38"/>
    <col customWidth="1" min="5" max="5" width="26.5"/>
    <col customWidth="1" min="6" max="6" width="70.63"/>
    <col customWidth="1" min="8" max="8" width="29.88"/>
    <col customWidth="1" min="9" max="11" width="58.88"/>
    <col customWidth="1" min="12" max="12" width="33.88"/>
    <col customWidth="1" min="13" max="13" width="32.25"/>
  </cols>
  <sheetData>
    <row r="1">
      <c r="A1" s="1" t="s">
        <v>0</v>
      </c>
      <c r="B1" s="1" t="s">
        <v>1</v>
      </c>
      <c r="C1" s="2" t="s">
        <v>2</v>
      </c>
      <c r="D1" s="3" t="s">
        <v>3</v>
      </c>
      <c r="E1" s="4" t="s">
        <v>4</v>
      </c>
      <c r="F1" s="1" t="s">
        <v>5</v>
      </c>
      <c r="G1" s="5" t="s">
        <v>6</v>
      </c>
      <c r="H1" s="5" t="s">
        <v>7</v>
      </c>
      <c r="I1" s="6" t="s">
        <v>8</v>
      </c>
      <c r="J1" s="7"/>
      <c r="K1" s="8"/>
      <c r="L1" s="5" t="s">
        <v>9</v>
      </c>
      <c r="M1" s="5" t="s">
        <v>10</v>
      </c>
      <c r="N1" s="9"/>
      <c r="O1" s="9"/>
      <c r="P1" s="9"/>
      <c r="Q1" s="9"/>
      <c r="R1" s="9"/>
      <c r="S1" s="9"/>
      <c r="T1" s="9"/>
      <c r="U1" s="9"/>
      <c r="V1" s="9"/>
      <c r="W1" s="9"/>
      <c r="X1" s="9"/>
      <c r="Y1" s="9"/>
      <c r="Z1" s="9"/>
      <c r="AA1" s="9"/>
      <c r="AB1" s="9"/>
    </row>
    <row r="2">
      <c r="A2" s="10"/>
      <c r="B2" s="10"/>
      <c r="C2" s="11"/>
      <c r="D2" s="12"/>
      <c r="E2" s="13"/>
      <c r="F2" s="10"/>
      <c r="G2" s="14"/>
      <c r="H2" s="14"/>
      <c r="I2" s="1" t="s">
        <v>11</v>
      </c>
      <c r="J2" s="5" t="s">
        <v>12</v>
      </c>
      <c r="K2" s="5" t="s">
        <v>13</v>
      </c>
      <c r="L2" s="14"/>
      <c r="M2" s="14"/>
      <c r="N2" s="9"/>
      <c r="O2" s="9"/>
      <c r="P2" s="9"/>
      <c r="Q2" s="9"/>
      <c r="R2" s="9"/>
      <c r="S2" s="9"/>
      <c r="T2" s="9"/>
      <c r="U2" s="9"/>
      <c r="V2" s="9"/>
      <c r="W2" s="9"/>
      <c r="X2" s="9"/>
      <c r="Y2" s="9"/>
      <c r="Z2" s="9"/>
      <c r="AA2" s="9"/>
      <c r="AB2" s="9"/>
    </row>
    <row r="3">
      <c r="A3" s="15" t="s">
        <v>14</v>
      </c>
      <c r="B3" s="16" t="s">
        <v>15</v>
      </c>
      <c r="C3" s="17" t="s">
        <v>16</v>
      </c>
      <c r="D3" s="18" t="s">
        <v>17</v>
      </c>
      <c r="E3" s="19" t="s">
        <v>18</v>
      </c>
      <c r="F3" s="20" t="s">
        <v>19</v>
      </c>
      <c r="G3" s="20">
        <v>5.0</v>
      </c>
      <c r="H3" s="20" t="s">
        <v>20</v>
      </c>
      <c r="I3" s="20" t="s">
        <v>21</v>
      </c>
      <c r="J3" s="20" t="s">
        <v>22</v>
      </c>
      <c r="K3" s="20" t="s">
        <v>23</v>
      </c>
      <c r="L3" s="21" t="s">
        <v>24</v>
      </c>
      <c r="M3" s="21" t="s">
        <v>25</v>
      </c>
    </row>
    <row r="4">
      <c r="A4" s="20" t="s">
        <v>26</v>
      </c>
      <c r="B4" s="16" t="s">
        <v>15</v>
      </c>
      <c r="C4" s="22"/>
      <c r="D4" s="23"/>
      <c r="E4" s="19" t="s">
        <v>18</v>
      </c>
      <c r="F4" s="20" t="s">
        <v>27</v>
      </c>
      <c r="G4" s="20">
        <v>3.0</v>
      </c>
      <c r="H4" s="20" t="s">
        <v>28</v>
      </c>
      <c r="I4" s="20" t="s">
        <v>29</v>
      </c>
      <c r="J4" s="20" t="s">
        <v>30</v>
      </c>
      <c r="K4" s="20" t="s">
        <v>31</v>
      </c>
      <c r="L4" s="24" t="s">
        <v>32</v>
      </c>
      <c r="M4" s="24" t="s">
        <v>33</v>
      </c>
    </row>
    <row r="5">
      <c r="A5" s="20" t="s">
        <v>34</v>
      </c>
      <c r="B5" s="25" t="s">
        <v>35</v>
      </c>
      <c r="C5" s="26"/>
      <c r="D5" s="27" t="s">
        <v>36</v>
      </c>
      <c r="E5" s="19" t="s">
        <v>18</v>
      </c>
      <c r="F5" s="20" t="s">
        <v>37</v>
      </c>
      <c r="G5" s="20">
        <v>5.0</v>
      </c>
      <c r="H5" s="20" t="s">
        <v>38</v>
      </c>
      <c r="I5" s="20" t="s">
        <v>39</v>
      </c>
      <c r="J5" s="20" t="s">
        <v>40</v>
      </c>
      <c r="K5" s="20" t="s">
        <v>41</v>
      </c>
      <c r="L5" s="21" t="s">
        <v>42</v>
      </c>
      <c r="M5" s="21"/>
    </row>
    <row r="6">
      <c r="A6" s="20" t="s">
        <v>43</v>
      </c>
      <c r="B6" s="16" t="s">
        <v>15</v>
      </c>
      <c r="C6" s="17" t="s">
        <v>44</v>
      </c>
      <c r="D6" s="18" t="s">
        <v>45</v>
      </c>
      <c r="E6" s="19" t="s">
        <v>18</v>
      </c>
      <c r="F6" s="20" t="s">
        <v>46</v>
      </c>
      <c r="G6" s="20">
        <v>3.0</v>
      </c>
      <c r="H6" s="20" t="s">
        <v>47</v>
      </c>
      <c r="I6" s="20" t="s">
        <v>48</v>
      </c>
      <c r="J6" s="20" t="s">
        <v>49</v>
      </c>
      <c r="K6" s="20" t="s">
        <v>50</v>
      </c>
      <c r="L6" s="24" t="s">
        <v>51</v>
      </c>
      <c r="M6" s="24"/>
    </row>
    <row r="7">
      <c r="A7" s="20" t="s">
        <v>52</v>
      </c>
      <c r="B7" s="16" t="s">
        <v>15</v>
      </c>
      <c r="C7" s="28"/>
      <c r="D7" s="29"/>
      <c r="E7" s="19" t="s">
        <v>18</v>
      </c>
      <c r="F7" s="20" t="s">
        <v>53</v>
      </c>
      <c r="G7" s="20">
        <v>5.0</v>
      </c>
      <c r="H7" s="20" t="s">
        <v>54</v>
      </c>
      <c r="I7" s="20" t="s">
        <v>55</v>
      </c>
      <c r="J7" s="20" t="s">
        <v>56</v>
      </c>
      <c r="K7" s="20" t="s">
        <v>57</v>
      </c>
      <c r="L7" s="21" t="s">
        <v>58</v>
      </c>
      <c r="M7" s="21" t="s">
        <v>59</v>
      </c>
    </row>
    <row r="8">
      <c r="A8" s="20" t="s">
        <v>60</v>
      </c>
      <c r="B8" s="16" t="s">
        <v>15</v>
      </c>
      <c r="C8" s="22"/>
      <c r="D8" s="23"/>
      <c r="E8" s="19" t="s">
        <v>18</v>
      </c>
      <c r="F8" s="20" t="s">
        <v>61</v>
      </c>
      <c r="G8" s="20">
        <v>8.0</v>
      </c>
      <c r="H8" s="20" t="s">
        <v>62</v>
      </c>
      <c r="I8" s="20" t="s">
        <v>63</v>
      </c>
      <c r="J8" s="20" t="s">
        <v>64</v>
      </c>
      <c r="K8" s="20" t="s">
        <v>65</v>
      </c>
      <c r="L8" s="24" t="s">
        <v>66</v>
      </c>
      <c r="M8" s="24" t="s">
        <v>67</v>
      </c>
    </row>
    <row r="9">
      <c r="A9" s="20" t="s">
        <v>68</v>
      </c>
      <c r="B9" s="30" t="s">
        <v>69</v>
      </c>
      <c r="C9" s="28"/>
      <c r="D9" s="27" t="s">
        <v>70</v>
      </c>
      <c r="E9" s="19" t="s">
        <v>71</v>
      </c>
      <c r="F9" s="20" t="s">
        <v>72</v>
      </c>
      <c r="G9" s="20">
        <v>8.0</v>
      </c>
      <c r="H9" s="20" t="s">
        <v>73</v>
      </c>
      <c r="I9" s="20" t="s">
        <v>74</v>
      </c>
      <c r="J9" s="20" t="s">
        <v>75</v>
      </c>
      <c r="K9" s="20" t="s">
        <v>76</v>
      </c>
      <c r="L9" s="21" t="s">
        <v>77</v>
      </c>
      <c r="M9" s="21" t="s">
        <v>78</v>
      </c>
    </row>
    <row r="10">
      <c r="A10" s="20" t="s">
        <v>79</v>
      </c>
      <c r="B10" s="16" t="s">
        <v>15</v>
      </c>
      <c r="C10" s="22"/>
      <c r="D10" s="18" t="s">
        <v>45</v>
      </c>
      <c r="E10" s="19" t="s">
        <v>18</v>
      </c>
      <c r="F10" s="20" t="s">
        <v>80</v>
      </c>
      <c r="G10" s="20">
        <v>5.0</v>
      </c>
      <c r="H10" s="20" t="s">
        <v>81</v>
      </c>
      <c r="I10" s="20" t="s">
        <v>82</v>
      </c>
      <c r="J10" s="20" t="s">
        <v>83</v>
      </c>
      <c r="K10" s="20" t="s">
        <v>84</v>
      </c>
      <c r="L10" s="24" t="s">
        <v>85</v>
      </c>
      <c r="M10" s="24" t="s">
        <v>86</v>
      </c>
    </row>
    <row r="11">
      <c r="A11" s="20" t="s">
        <v>87</v>
      </c>
      <c r="B11" s="16" t="s">
        <v>15</v>
      </c>
      <c r="C11" s="26"/>
      <c r="D11" s="31"/>
      <c r="E11" s="19" t="s">
        <v>18</v>
      </c>
      <c r="F11" s="20" t="s">
        <v>88</v>
      </c>
      <c r="G11" s="20">
        <v>3.0</v>
      </c>
      <c r="H11" s="20" t="s">
        <v>89</v>
      </c>
      <c r="I11" s="20" t="s">
        <v>90</v>
      </c>
      <c r="J11" s="20" t="s">
        <v>91</v>
      </c>
      <c r="K11" s="20" t="s">
        <v>92</v>
      </c>
      <c r="L11" s="21" t="s">
        <v>93</v>
      </c>
      <c r="M11" s="21" t="s">
        <v>94</v>
      </c>
    </row>
    <row r="12">
      <c r="A12" s="20" t="s">
        <v>95</v>
      </c>
      <c r="B12" s="16" t="s">
        <v>15</v>
      </c>
      <c r="C12" s="17" t="s">
        <v>96</v>
      </c>
      <c r="D12" s="18" t="s">
        <v>45</v>
      </c>
      <c r="E12" s="19" t="s">
        <v>18</v>
      </c>
      <c r="F12" s="20" t="s">
        <v>97</v>
      </c>
      <c r="G12" s="20">
        <v>3.0</v>
      </c>
      <c r="H12" s="20" t="s">
        <v>98</v>
      </c>
      <c r="I12" s="20" t="s">
        <v>99</v>
      </c>
      <c r="J12" s="20" t="s">
        <v>100</v>
      </c>
      <c r="K12" s="20" t="s">
        <v>101</v>
      </c>
      <c r="L12" s="24" t="s">
        <v>102</v>
      </c>
      <c r="M12" s="24" t="s">
        <v>103</v>
      </c>
    </row>
    <row r="13">
      <c r="A13" s="20" t="s">
        <v>104</v>
      </c>
      <c r="B13" s="16" t="s">
        <v>15</v>
      </c>
      <c r="C13" s="28"/>
      <c r="D13" s="29"/>
      <c r="E13" s="19" t="s">
        <v>18</v>
      </c>
      <c r="F13" s="20" t="s">
        <v>105</v>
      </c>
      <c r="G13" s="20">
        <v>5.0</v>
      </c>
      <c r="H13" s="20" t="s">
        <v>106</v>
      </c>
      <c r="I13" s="20" t="s">
        <v>107</v>
      </c>
      <c r="J13" s="20" t="s">
        <v>108</v>
      </c>
      <c r="K13" s="20" t="s">
        <v>109</v>
      </c>
      <c r="L13" s="32" t="s">
        <v>110</v>
      </c>
      <c r="M13" s="32" t="s">
        <v>111</v>
      </c>
    </row>
    <row r="14">
      <c r="A14" s="20" t="s">
        <v>112</v>
      </c>
      <c r="B14" s="16" t="s">
        <v>15</v>
      </c>
      <c r="C14" s="33"/>
      <c r="D14" s="23"/>
      <c r="E14" s="19" t="s">
        <v>18</v>
      </c>
      <c r="F14" s="20" t="s">
        <v>113</v>
      </c>
      <c r="G14" s="20">
        <v>8.0</v>
      </c>
      <c r="H14" s="20" t="s">
        <v>114</v>
      </c>
      <c r="I14" s="20" t="s">
        <v>115</v>
      </c>
      <c r="J14" s="20" t="s">
        <v>116</v>
      </c>
      <c r="K14" s="20" t="s">
        <v>117</v>
      </c>
      <c r="L14" s="24" t="s">
        <v>118</v>
      </c>
      <c r="M14" s="24" t="s">
        <v>119</v>
      </c>
    </row>
    <row r="15">
      <c r="A15" s="20" t="s">
        <v>120</v>
      </c>
      <c r="B15" s="16" t="s">
        <v>15</v>
      </c>
      <c r="C15" s="17" t="s">
        <v>121</v>
      </c>
      <c r="D15" s="18" t="s">
        <v>45</v>
      </c>
      <c r="E15" s="19" t="s">
        <v>71</v>
      </c>
      <c r="F15" s="20" t="s">
        <v>122</v>
      </c>
      <c r="G15" s="20">
        <v>3.0</v>
      </c>
      <c r="H15" s="20" t="s">
        <v>123</v>
      </c>
      <c r="I15" s="20" t="s">
        <v>124</v>
      </c>
      <c r="J15" s="20" t="s">
        <v>125</v>
      </c>
      <c r="K15" s="20" t="s">
        <v>126</v>
      </c>
      <c r="L15" s="21" t="s">
        <v>127</v>
      </c>
      <c r="M15" s="21" t="s">
        <v>128</v>
      </c>
    </row>
    <row r="16">
      <c r="A16" s="20" t="s">
        <v>129</v>
      </c>
      <c r="B16" s="16" t="s">
        <v>15</v>
      </c>
      <c r="C16" s="22"/>
      <c r="D16" s="34"/>
      <c r="E16" s="19" t="s">
        <v>71</v>
      </c>
      <c r="F16" s="20" t="s">
        <v>130</v>
      </c>
      <c r="G16" s="20">
        <v>8.0</v>
      </c>
      <c r="H16" s="20" t="s">
        <v>131</v>
      </c>
      <c r="I16" s="20" t="s">
        <v>132</v>
      </c>
      <c r="J16" s="20" t="s">
        <v>133</v>
      </c>
      <c r="K16" s="20" t="s">
        <v>134</v>
      </c>
      <c r="L16" s="24" t="s">
        <v>135</v>
      </c>
      <c r="M16" s="24" t="s">
        <v>136</v>
      </c>
    </row>
    <row r="17">
      <c r="A17" s="20" t="s">
        <v>137</v>
      </c>
      <c r="B17" s="16" t="s">
        <v>15</v>
      </c>
      <c r="C17" s="28"/>
      <c r="D17" s="29"/>
      <c r="E17" s="19" t="s">
        <v>71</v>
      </c>
      <c r="F17" s="20" t="s">
        <v>138</v>
      </c>
      <c r="G17" s="20">
        <v>8.0</v>
      </c>
      <c r="H17" s="20" t="s">
        <v>139</v>
      </c>
      <c r="I17" s="20" t="s">
        <v>140</v>
      </c>
      <c r="J17" s="20" t="s">
        <v>141</v>
      </c>
      <c r="K17" s="20" t="s">
        <v>142</v>
      </c>
      <c r="L17" s="21" t="s">
        <v>143</v>
      </c>
      <c r="M17" s="21"/>
    </row>
    <row r="18">
      <c r="A18" s="20" t="s">
        <v>144</v>
      </c>
      <c r="B18" s="16" t="s">
        <v>15</v>
      </c>
      <c r="C18" s="33"/>
      <c r="D18" s="23"/>
      <c r="E18" s="19" t="s">
        <v>71</v>
      </c>
      <c r="F18" s="20" t="s">
        <v>145</v>
      </c>
      <c r="G18" s="20">
        <v>3.0</v>
      </c>
      <c r="H18" s="20" t="s">
        <v>146</v>
      </c>
      <c r="I18" s="20" t="s">
        <v>147</v>
      </c>
      <c r="J18" s="20" t="s">
        <v>148</v>
      </c>
      <c r="K18" s="20" t="s">
        <v>149</v>
      </c>
      <c r="L18" s="24" t="s">
        <v>150</v>
      </c>
      <c r="M18" s="24" t="s">
        <v>151</v>
      </c>
    </row>
    <row r="19">
      <c r="A19" s="20" t="s">
        <v>152</v>
      </c>
      <c r="B19" s="16" t="s">
        <v>15</v>
      </c>
      <c r="C19" s="35" t="s">
        <v>153</v>
      </c>
      <c r="D19" s="27" t="s">
        <v>45</v>
      </c>
      <c r="E19" s="19" t="s">
        <v>71</v>
      </c>
      <c r="F19" s="20" t="s">
        <v>154</v>
      </c>
      <c r="G19" s="20">
        <v>5.0</v>
      </c>
      <c r="H19" s="20" t="s">
        <v>155</v>
      </c>
      <c r="I19" s="20" t="s">
        <v>156</v>
      </c>
      <c r="J19" s="20" t="s">
        <v>157</v>
      </c>
      <c r="K19" s="20" t="s">
        <v>158</v>
      </c>
      <c r="L19" s="21" t="s">
        <v>159</v>
      </c>
      <c r="M19" s="21" t="s">
        <v>160</v>
      </c>
    </row>
    <row r="20">
      <c r="A20" s="20" t="s">
        <v>161</v>
      </c>
      <c r="B20" s="16" t="s">
        <v>15</v>
      </c>
      <c r="C20" s="17" t="s">
        <v>162</v>
      </c>
      <c r="D20" s="18" t="s">
        <v>163</v>
      </c>
      <c r="E20" s="19" t="s">
        <v>71</v>
      </c>
      <c r="F20" s="20" t="s">
        <v>164</v>
      </c>
      <c r="G20" s="20">
        <v>3.0</v>
      </c>
      <c r="H20" s="20" t="s">
        <v>165</v>
      </c>
      <c r="I20" s="20" t="s">
        <v>166</v>
      </c>
      <c r="J20" s="20" t="s">
        <v>167</v>
      </c>
      <c r="K20" s="20" t="s">
        <v>168</v>
      </c>
      <c r="L20" s="24" t="s">
        <v>169</v>
      </c>
      <c r="M20" s="24"/>
    </row>
    <row r="21">
      <c r="A21" s="20" t="s">
        <v>170</v>
      </c>
      <c r="B21" s="16" t="s">
        <v>15</v>
      </c>
      <c r="C21" s="28"/>
      <c r="D21" s="29"/>
      <c r="E21" s="19" t="s">
        <v>71</v>
      </c>
      <c r="F21" s="20" t="s">
        <v>171</v>
      </c>
      <c r="G21" s="20">
        <v>8.0</v>
      </c>
      <c r="H21" s="20" t="s">
        <v>172</v>
      </c>
      <c r="I21" s="20" t="s">
        <v>173</v>
      </c>
      <c r="J21" s="20" t="s">
        <v>174</v>
      </c>
      <c r="K21" s="20" t="s">
        <v>175</v>
      </c>
      <c r="L21" s="21" t="s">
        <v>176</v>
      </c>
      <c r="M21" s="21"/>
    </row>
    <row r="22">
      <c r="A22" s="20" t="s">
        <v>177</v>
      </c>
      <c r="B22" s="16" t="s">
        <v>15</v>
      </c>
      <c r="C22" s="22"/>
      <c r="D22" s="34"/>
      <c r="E22" s="19" t="s">
        <v>71</v>
      </c>
      <c r="F22" s="20" t="s">
        <v>178</v>
      </c>
      <c r="G22" s="20">
        <v>5.0</v>
      </c>
      <c r="H22" s="20" t="s">
        <v>179</v>
      </c>
      <c r="I22" s="20" t="s">
        <v>180</v>
      </c>
      <c r="J22" s="20" t="s">
        <v>181</v>
      </c>
      <c r="K22" s="20" t="s">
        <v>182</v>
      </c>
      <c r="L22" s="24" t="s">
        <v>183</v>
      </c>
      <c r="M22" s="24" t="s">
        <v>184</v>
      </c>
    </row>
    <row r="23">
      <c r="A23" s="20" t="s">
        <v>185</v>
      </c>
      <c r="B23" s="16" t="s">
        <v>15</v>
      </c>
      <c r="C23" s="28"/>
      <c r="D23" s="29"/>
      <c r="E23" s="19" t="s">
        <v>71</v>
      </c>
      <c r="F23" s="20" t="s">
        <v>186</v>
      </c>
      <c r="G23" s="20">
        <v>5.0</v>
      </c>
      <c r="H23" s="20" t="s">
        <v>187</v>
      </c>
      <c r="I23" s="20" t="s">
        <v>188</v>
      </c>
      <c r="J23" s="20" t="s">
        <v>189</v>
      </c>
      <c r="K23" s="20" t="s">
        <v>190</v>
      </c>
      <c r="L23" s="21" t="s">
        <v>191</v>
      </c>
      <c r="M23" s="21"/>
    </row>
    <row r="24">
      <c r="A24" s="20" t="s">
        <v>192</v>
      </c>
      <c r="B24" s="16" t="s">
        <v>15</v>
      </c>
      <c r="C24" s="22"/>
      <c r="D24" s="34"/>
      <c r="E24" s="19" t="s">
        <v>71</v>
      </c>
      <c r="F24" s="20" t="s">
        <v>193</v>
      </c>
      <c r="G24" s="20">
        <v>5.0</v>
      </c>
      <c r="H24" s="20" t="s">
        <v>194</v>
      </c>
      <c r="I24" s="20" t="s">
        <v>195</v>
      </c>
      <c r="J24" s="20" t="s">
        <v>196</v>
      </c>
      <c r="K24" s="20" t="s">
        <v>197</v>
      </c>
      <c r="L24" s="24" t="s">
        <v>198</v>
      </c>
      <c r="M24" s="24" t="s">
        <v>199</v>
      </c>
    </row>
    <row r="25">
      <c r="A25" s="20" t="s">
        <v>200</v>
      </c>
      <c r="B25" s="16" t="s">
        <v>15</v>
      </c>
      <c r="C25" s="26"/>
      <c r="D25" s="31"/>
      <c r="E25" s="19" t="s">
        <v>71</v>
      </c>
      <c r="F25" s="20" t="s">
        <v>201</v>
      </c>
      <c r="G25" s="20">
        <v>8.0</v>
      </c>
      <c r="H25" s="20" t="s">
        <v>202</v>
      </c>
      <c r="I25" s="20" t="s">
        <v>203</v>
      </c>
      <c r="J25" s="20" t="s">
        <v>204</v>
      </c>
      <c r="K25" s="20" t="s">
        <v>205</v>
      </c>
      <c r="L25" s="21" t="s">
        <v>206</v>
      </c>
      <c r="M25" s="21" t="s">
        <v>207</v>
      </c>
    </row>
    <row r="26">
      <c r="A26" s="20" t="s">
        <v>208</v>
      </c>
      <c r="B26" s="16" t="s">
        <v>15</v>
      </c>
      <c r="C26" s="17" t="s">
        <v>209</v>
      </c>
      <c r="D26" s="18" t="s">
        <v>163</v>
      </c>
      <c r="E26" s="19" t="s">
        <v>71</v>
      </c>
      <c r="F26" s="20" t="s">
        <v>210</v>
      </c>
      <c r="G26" s="20">
        <v>8.0</v>
      </c>
      <c r="H26" s="20" t="s">
        <v>211</v>
      </c>
      <c r="I26" s="20" t="s">
        <v>212</v>
      </c>
      <c r="J26" s="20" t="s">
        <v>213</v>
      </c>
      <c r="K26" s="20" t="s">
        <v>214</v>
      </c>
      <c r="L26" s="24" t="s">
        <v>215</v>
      </c>
      <c r="M26" s="24" t="s">
        <v>216</v>
      </c>
    </row>
    <row r="27">
      <c r="A27" s="20" t="s">
        <v>217</v>
      </c>
      <c r="B27" s="16" t="s">
        <v>15</v>
      </c>
      <c r="C27" s="28"/>
      <c r="D27" s="29"/>
      <c r="E27" s="19" t="s">
        <v>71</v>
      </c>
      <c r="F27" s="20" t="s">
        <v>218</v>
      </c>
      <c r="G27" s="20">
        <v>3.0</v>
      </c>
      <c r="H27" s="20" t="s">
        <v>219</v>
      </c>
      <c r="I27" s="20" t="s">
        <v>220</v>
      </c>
      <c r="J27" s="20" t="s">
        <v>221</v>
      </c>
      <c r="K27" s="20" t="s">
        <v>222</v>
      </c>
      <c r="L27" s="21" t="s">
        <v>223</v>
      </c>
      <c r="M27" s="21" t="s">
        <v>224</v>
      </c>
    </row>
    <row r="28">
      <c r="A28" s="20" t="s">
        <v>225</v>
      </c>
      <c r="B28" s="16" t="s">
        <v>15</v>
      </c>
      <c r="C28" s="22"/>
      <c r="D28" s="34"/>
      <c r="E28" s="19" t="s">
        <v>71</v>
      </c>
      <c r="F28" s="20" t="s">
        <v>226</v>
      </c>
      <c r="G28" s="20">
        <v>5.0</v>
      </c>
      <c r="H28" s="20" t="s">
        <v>227</v>
      </c>
      <c r="I28" s="20" t="s">
        <v>228</v>
      </c>
      <c r="J28" s="20" t="s">
        <v>229</v>
      </c>
      <c r="K28" s="20" t="s">
        <v>230</v>
      </c>
      <c r="L28" s="24" t="s">
        <v>231</v>
      </c>
      <c r="M28" s="24" t="s">
        <v>232</v>
      </c>
    </row>
    <row r="29">
      <c r="A29" s="20" t="s">
        <v>233</v>
      </c>
      <c r="B29" s="16" t="s">
        <v>15</v>
      </c>
      <c r="C29" s="28"/>
      <c r="D29" s="29"/>
      <c r="E29" s="19" t="s">
        <v>71</v>
      </c>
      <c r="F29" s="20" t="s">
        <v>234</v>
      </c>
      <c r="G29" s="20">
        <v>8.0</v>
      </c>
      <c r="H29" s="20" t="s">
        <v>235</v>
      </c>
      <c r="I29" s="20" t="s">
        <v>236</v>
      </c>
      <c r="J29" s="20" t="s">
        <v>237</v>
      </c>
      <c r="K29" s="20" t="s">
        <v>238</v>
      </c>
      <c r="L29" s="21" t="s">
        <v>239</v>
      </c>
      <c r="M29" s="21"/>
    </row>
    <row r="30">
      <c r="A30" s="20" t="s">
        <v>240</v>
      </c>
      <c r="B30" s="16" t="s">
        <v>15</v>
      </c>
      <c r="C30" s="33"/>
      <c r="D30" s="23"/>
      <c r="E30" s="19" t="s">
        <v>71</v>
      </c>
      <c r="F30" s="20" t="s">
        <v>241</v>
      </c>
      <c r="G30" s="20">
        <v>8.0</v>
      </c>
      <c r="H30" s="20" t="s">
        <v>242</v>
      </c>
      <c r="I30" s="20" t="s">
        <v>243</v>
      </c>
      <c r="J30" s="20" t="s">
        <v>244</v>
      </c>
      <c r="K30" s="20" t="s">
        <v>245</v>
      </c>
      <c r="L30" s="24" t="s">
        <v>246</v>
      </c>
      <c r="M30" s="24" t="s">
        <v>247</v>
      </c>
    </row>
    <row r="31">
      <c r="A31" s="20" t="s">
        <v>248</v>
      </c>
      <c r="B31" s="16" t="s">
        <v>15</v>
      </c>
      <c r="C31" s="17" t="s">
        <v>249</v>
      </c>
      <c r="D31" s="18" t="s">
        <v>163</v>
      </c>
      <c r="E31" s="19" t="s">
        <v>71</v>
      </c>
      <c r="F31" s="20" t="s">
        <v>250</v>
      </c>
      <c r="G31" s="20">
        <v>5.0</v>
      </c>
      <c r="H31" s="20" t="s">
        <v>251</v>
      </c>
      <c r="I31" s="20" t="s">
        <v>252</v>
      </c>
      <c r="J31" s="20" t="s">
        <v>253</v>
      </c>
      <c r="K31" s="20" t="s">
        <v>254</v>
      </c>
      <c r="L31" s="21" t="s">
        <v>255</v>
      </c>
      <c r="M31" s="21" t="s">
        <v>256</v>
      </c>
    </row>
    <row r="32">
      <c r="A32" s="20" t="s">
        <v>257</v>
      </c>
      <c r="B32" s="16" t="s">
        <v>15</v>
      </c>
      <c r="C32" s="22"/>
      <c r="D32" s="34"/>
      <c r="E32" s="19" t="s">
        <v>71</v>
      </c>
      <c r="F32" s="20" t="s">
        <v>258</v>
      </c>
      <c r="G32" s="20">
        <v>3.0</v>
      </c>
      <c r="H32" s="20" t="s">
        <v>259</v>
      </c>
      <c r="I32" s="20" t="s">
        <v>260</v>
      </c>
      <c r="J32" s="20" t="s">
        <v>261</v>
      </c>
      <c r="K32" s="20" t="s">
        <v>262</v>
      </c>
      <c r="L32" s="24" t="s">
        <v>263</v>
      </c>
      <c r="M32" s="24" t="s">
        <v>264</v>
      </c>
    </row>
    <row r="33">
      <c r="A33" s="20" t="s">
        <v>265</v>
      </c>
      <c r="B33" s="16" t="s">
        <v>15</v>
      </c>
      <c r="C33" s="28"/>
      <c r="D33" s="29"/>
      <c r="E33" s="19" t="s">
        <v>71</v>
      </c>
      <c r="F33" s="20" t="s">
        <v>266</v>
      </c>
      <c r="G33" s="20">
        <v>8.0</v>
      </c>
      <c r="H33" s="20" t="s">
        <v>267</v>
      </c>
      <c r="I33" s="20" t="s">
        <v>268</v>
      </c>
      <c r="J33" s="20" t="s">
        <v>269</v>
      </c>
      <c r="K33" s="20" t="s">
        <v>270</v>
      </c>
      <c r="L33" s="21" t="s">
        <v>271</v>
      </c>
      <c r="M33" s="21" t="s">
        <v>272</v>
      </c>
    </row>
    <row r="34">
      <c r="A34" s="20" t="s">
        <v>273</v>
      </c>
      <c r="B34" s="16" t="s">
        <v>15</v>
      </c>
      <c r="C34" s="33"/>
      <c r="D34" s="23"/>
      <c r="E34" s="19" t="s">
        <v>71</v>
      </c>
      <c r="F34" s="20" t="s">
        <v>274</v>
      </c>
      <c r="G34" s="20">
        <v>8.0</v>
      </c>
      <c r="H34" s="20" t="s">
        <v>275</v>
      </c>
      <c r="I34" s="20" t="s">
        <v>276</v>
      </c>
      <c r="J34" s="20" t="s">
        <v>277</v>
      </c>
      <c r="K34" s="20" t="s">
        <v>278</v>
      </c>
      <c r="L34" s="24" t="s">
        <v>279</v>
      </c>
      <c r="M34" s="24" t="s">
        <v>280</v>
      </c>
    </row>
    <row r="35">
      <c r="A35" s="20" t="s">
        <v>281</v>
      </c>
      <c r="B35" s="16" t="s">
        <v>15</v>
      </c>
      <c r="C35" s="17" t="s">
        <v>282</v>
      </c>
      <c r="D35" s="36" t="s">
        <v>163</v>
      </c>
      <c r="E35" s="19" t="s">
        <v>71</v>
      </c>
      <c r="F35" s="20" t="s">
        <v>283</v>
      </c>
      <c r="G35" s="20">
        <v>5.0</v>
      </c>
      <c r="H35" s="20" t="s">
        <v>284</v>
      </c>
      <c r="I35" s="20" t="s">
        <v>285</v>
      </c>
      <c r="J35" s="20" t="s">
        <v>286</v>
      </c>
      <c r="K35" s="20" t="s">
        <v>287</v>
      </c>
      <c r="L35" s="21" t="s">
        <v>288</v>
      </c>
      <c r="M35" s="21" t="s">
        <v>289</v>
      </c>
    </row>
    <row r="36">
      <c r="A36" s="20" t="s">
        <v>290</v>
      </c>
      <c r="B36" s="16" t="s">
        <v>15</v>
      </c>
      <c r="C36" s="33"/>
      <c r="D36" s="23"/>
      <c r="E36" s="19" t="s">
        <v>71</v>
      </c>
      <c r="F36" s="20" t="s">
        <v>291</v>
      </c>
      <c r="G36" s="20">
        <v>5.0</v>
      </c>
      <c r="H36" s="20" t="s">
        <v>292</v>
      </c>
      <c r="I36" s="20" t="s">
        <v>293</v>
      </c>
      <c r="J36" s="20" t="s">
        <v>294</v>
      </c>
      <c r="K36" s="20" t="s">
        <v>295</v>
      </c>
      <c r="L36" s="24" t="s">
        <v>296</v>
      </c>
      <c r="M36" s="24" t="s">
        <v>297</v>
      </c>
    </row>
    <row r="37">
      <c r="A37" s="20" t="s">
        <v>298</v>
      </c>
      <c r="B37" s="37" t="s">
        <v>35</v>
      </c>
      <c r="C37" s="17" t="s">
        <v>299</v>
      </c>
      <c r="D37" s="18" t="s">
        <v>70</v>
      </c>
      <c r="E37" s="19" t="s">
        <v>71</v>
      </c>
      <c r="F37" s="20" t="s">
        <v>300</v>
      </c>
      <c r="G37" s="20">
        <v>8.0</v>
      </c>
      <c r="H37" s="20" t="s">
        <v>301</v>
      </c>
      <c r="I37" s="20" t="s">
        <v>302</v>
      </c>
      <c r="J37" s="20" t="s">
        <v>303</v>
      </c>
      <c r="K37" s="20" t="s">
        <v>304</v>
      </c>
      <c r="L37" s="21" t="s">
        <v>305</v>
      </c>
      <c r="M37" s="21" t="s">
        <v>306</v>
      </c>
    </row>
    <row r="38">
      <c r="A38" s="20" t="s">
        <v>307</v>
      </c>
      <c r="B38" s="37" t="s">
        <v>35</v>
      </c>
      <c r="C38" s="33"/>
      <c r="D38" s="23"/>
      <c r="E38" s="19" t="s">
        <v>71</v>
      </c>
      <c r="F38" s="20" t="s">
        <v>308</v>
      </c>
      <c r="G38" s="20">
        <v>5.0</v>
      </c>
      <c r="H38" s="20" t="s">
        <v>309</v>
      </c>
      <c r="I38" s="20" t="s">
        <v>310</v>
      </c>
      <c r="J38" s="20" t="s">
        <v>311</v>
      </c>
      <c r="K38" s="20" t="s">
        <v>312</v>
      </c>
      <c r="L38" s="24" t="s">
        <v>313</v>
      </c>
      <c r="M38" s="24" t="s">
        <v>314</v>
      </c>
    </row>
    <row r="39">
      <c r="A39" s="20" t="s">
        <v>315</v>
      </c>
      <c r="B39" s="16" t="s">
        <v>15</v>
      </c>
      <c r="C39" s="35" t="s">
        <v>16</v>
      </c>
      <c r="D39" s="38" t="s">
        <v>45</v>
      </c>
      <c r="E39" s="19" t="s">
        <v>71</v>
      </c>
      <c r="F39" s="20" t="s">
        <v>316</v>
      </c>
      <c r="G39" s="20">
        <v>3.0</v>
      </c>
      <c r="H39" s="20" t="s">
        <v>317</v>
      </c>
      <c r="I39" s="20" t="s">
        <v>318</v>
      </c>
      <c r="J39" s="20" t="s">
        <v>319</v>
      </c>
      <c r="K39" s="20" t="s">
        <v>320</v>
      </c>
      <c r="L39" s="21" t="s">
        <v>321</v>
      </c>
      <c r="M39" s="21" t="s">
        <v>322</v>
      </c>
    </row>
    <row r="40">
      <c r="A40" s="39"/>
      <c r="B40" s="39"/>
      <c r="C40" s="39"/>
      <c r="D40" s="40"/>
      <c r="E40" s="41"/>
      <c r="F40" s="39"/>
      <c r="G40" s="39"/>
      <c r="H40" s="39"/>
      <c r="I40" s="39"/>
      <c r="J40" s="39"/>
      <c r="K40" s="39"/>
      <c r="L40" s="39"/>
      <c r="M40" s="39"/>
    </row>
    <row r="41">
      <c r="D41" s="42"/>
      <c r="E41" s="43"/>
    </row>
    <row r="42">
      <c r="D42" s="42"/>
      <c r="E42" s="43"/>
    </row>
    <row r="43">
      <c r="D43" s="42"/>
      <c r="E43" s="43"/>
      <c r="F43" s="44" t="s">
        <v>323</v>
      </c>
      <c r="G43" s="45">
        <f>SUMIF($D:$D,"JosephH-Miguel",$G:$G)</f>
        <v>22</v>
      </c>
    </row>
    <row r="44">
      <c r="D44" s="42"/>
      <c r="E44" s="43"/>
      <c r="F44" s="44" t="s">
        <v>324</v>
      </c>
      <c r="G44" s="45">
        <f>SUMIF($D:$D,"Leonardo-Alexandra",$G:$G)</f>
        <v>21</v>
      </c>
    </row>
  </sheetData>
  <mergeCells count="30">
    <mergeCell ref="H1:H2"/>
    <mergeCell ref="I1:K1"/>
    <mergeCell ref="L1:L2"/>
    <mergeCell ref="M1:M2"/>
    <mergeCell ref="A1:A2"/>
    <mergeCell ref="B1:B2"/>
    <mergeCell ref="C1:C2"/>
    <mergeCell ref="E1:E2"/>
    <mergeCell ref="F1:F2"/>
    <mergeCell ref="G1:G2"/>
    <mergeCell ref="C3:C5"/>
    <mergeCell ref="D1:D2"/>
    <mergeCell ref="D3:D4"/>
    <mergeCell ref="C6:C11"/>
    <mergeCell ref="D6:D8"/>
    <mergeCell ref="D10:D11"/>
    <mergeCell ref="C12:C14"/>
    <mergeCell ref="D12:D14"/>
    <mergeCell ref="C31:C34"/>
    <mergeCell ref="C35:C36"/>
    <mergeCell ref="C37:C38"/>
    <mergeCell ref="D35:D36"/>
    <mergeCell ref="D37:D38"/>
    <mergeCell ref="C15:C18"/>
    <mergeCell ref="D15:D18"/>
    <mergeCell ref="C20:C25"/>
    <mergeCell ref="D20:D25"/>
    <mergeCell ref="C26:C30"/>
    <mergeCell ref="D26:D30"/>
    <mergeCell ref="D31:D34"/>
  </mergeCells>
  <dataValidations>
    <dataValidation type="list" allowBlank="1" showErrorMessage="1" sqref="E3:E39">
      <formula1>"No iniciado,En progreso,Completado"</formula1>
    </dataValidation>
  </dataValidations>
  <printOptions gridLines="1" horizontalCentered="1"/>
  <pageMargins bottom="0.75" footer="0.0" header="0.0" left="0.25" right="0.25" top="0.75"/>
  <pageSetup fitToHeight="0" paperSize="9" cellComments="atEnd" orientation="landscape" pageOrder="overThenDown"/>
  <drawing r:id="rId1"/>
</worksheet>
</file>