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 - Administrador" sheetId="1" r:id="rId5"/>
  </sheets>
  <definedNames/>
  <calcPr/>
</workbook>
</file>

<file path=xl/sharedStrings.xml><?xml version="1.0" encoding="utf-8"?>
<sst xmlns="http://schemas.openxmlformats.org/spreadsheetml/2006/main" count="209" uniqueCount="164">
  <si>
    <t>ID</t>
  </si>
  <si>
    <t>Prioridad</t>
  </si>
  <si>
    <t>Épica</t>
  </si>
  <si>
    <t>Duo dinámico</t>
  </si>
  <si>
    <t>ESTADO</t>
  </si>
  <si>
    <t>Historia de usuario</t>
  </si>
  <si>
    <t>Puntos</t>
  </si>
  <si>
    <t>Justificación</t>
  </si>
  <si>
    <t>Criterio de aceptación</t>
  </si>
  <si>
    <t>Consideraciones</t>
  </si>
  <si>
    <t>Supuestos</t>
  </si>
  <si>
    <t>Flujo principal</t>
  </si>
  <si>
    <t>Flujo alterno</t>
  </si>
  <si>
    <t>Error</t>
  </si>
  <si>
    <t>HU-ADM-01</t>
  </si>
  <si>
    <t>Alta</t>
  </si>
  <si>
    <t>Acceso y Seguridad</t>
  </si>
  <si>
    <t>YA REALIZADO (falta la redireccion al sitio correspondiente)</t>
  </si>
  <si>
    <t>Completado</t>
  </si>
  <si>
    <t>Como administrador, quiero iniciar sesión con mi cuenta de Google, para acceder al panel de gestión de PathFinder según mi rol asignado.</t>
  </si>
  <si>
    <t>Es más simple que el pivote porque la autenticación con Google ya debería reutilizarse del acceso general. La complejidad principal está en validar permisos.</t>
  </si>
  <si>
    <t>Dado que el administrador accede al panel de gestión, cuando inicia sesión correctamente con Google y tiene rol de administrador, entonces el sistema le permite ingresar al panel de administración.</t>
  </si>
  <si>
    <t>Dado que el usuario inicia sesión con Google pero tiene otro rol asignado, cuando intenta acceder al panel, entonces el sistema lo redirige al módulo correspondiente a su rol.</t>
  </si>
  <si>
    <t>Dado que la autenticación falla o el usuario no tiene permisos de administrador, entonces el sistema no le permite ingresar y muestra un mensaje de validación.</t>
  </si>
  <si>
    <t>Acceso al panel de administración con Google y validación del rol administrador.</t>
  </si>
  <si>
    <t>Se asume que el login con Google ya existe para todos los roles. Esta HU solo controla el acceso al panel admin según rol.</t>
  </si>
  <si>
    <t>HU-ADM-02</t>
  </si>
  <si>
    <t>Manuel-Melanie</t>
  </si>
  <si>
    <t>En progreso</t>
  </si>
  <si>
    <t>Como administrador, quiero consultar usuarios registrados y asignar roles de administrador o PathMentor, para controlar los accesos principales de la plataforma.</t>
  </si>
  <si>
    <t>Es comparable al pivote porque incluye listado, búsqueda/filtros, edición de rol y validación de permisos.</t>
  </si>
  <si>
    <t>Dado que el administrador accede a la gestión de usuarios, cuando selecciona un usuario y actualiza su rol, entonces el sistema guarda el cambio y actualiza sus permisos de acceso.</t>
  </si>
  <si>
    <t>Dado que el administrador desea ubicar un usuario específico, cuando usa filtros por rol, carrera o estado, entonces el sistema actualiza la lista de resultados.</t>
  </si>
  <si>
    <t>Dado que el usuario no existe o el cambio de rol no puede aplicarse, entonces el sistema no guarda la modificación y muestra la incidencia.</t>
  </si>
  <si>
    <t>Consulta de usuarios, filtros básicos y asignación de roles admin o PathMentor.</t>
  </si>
  <si>
    <t>No incluye CRUD completo de usuarios ni creación manual de cuentas. Los usuarios ya existen por login con Google.</t>
  </si>
  <si>
    <t>HU-ADM-03</t>
  </si>
  <si>
    <t>Configuración Core</t>
  </si>
  <si>
    <t>Camila-Silvana</t>
  </si>
  <si>
    <t>Como administrador, quiero configurar las preguntas del test psicométrico, para mantener actualizada la evaluación que responderán los estudiantes.</t>
  </si>
  <si>
    <t>Es el pivote porque representa una funcionalidad administrativa media: crear, editar y validar contenido configurable.</t>
  </si>
  <si>
    <t>Dado que el administrador accede a la configuración del test, cuando crea o edita una pregunta con su tipo de respuesta, entonces el sistema guarda la pregunta y la deja disponible para el test.</t>
  </si>
  <si>
    <t>Dado que el administrador necesita modificar una pregunta existente, cuando la edita antes de publicar cambios, entonces el sistema actualiza su contenido y configuración.</t>
  </si>
  <si>
    <t>Dado que la pregunta está incompleta o tiene una configuración inválida, entonces el sistema no la guarda y señala los campos que deben corregirse.</t>
  </si>
  <si>
    <t>Configuración de preguntas del test psicométrico, tipo de respuesta y validaciones.</t>
  </si>
  <si>
    <t>Se asume que los tipos de pregunta ya están definidos: selección, imagen y texto libre.</t>
  </si>
  <si>
    <t>HU-ADM-04</t>
  </si>
  <si>
    <t>No iniciado</t>
  </si>
  <si>
    <t>Como administrador, quiero administrar áreas y subáreas profesionales, para mantener disponible la estructura de exploración del proceso de entrenamiento.</t>
  </si>
  <si>
    <t>Es similar al pivote porque implica crear, editar, activar o desactivar elementos del catálogo.</t>
  </si>
  <si>
    <t>Dado que el administrador accede al catálogo de áreas, cuando crea o edita un área o subárea, entonces el sistema actualiza la estructura disponible para los estudiantes.</t>
  </si>
  <si>
    <t>Dado que el administrador desea desactivar o eliminar una subárea, cuando confirma la acción, entonces el sistema actualiza su disponibilidad sin afectar los registros históricos existentes.</t>
  </si>
  <si>
    <t>Dado que el área o subárea tiene datos incompletos, duplicados o asociados a contenido activo que impide su eliminación, entonces el sistema no aplica el cambio y muestra la restricción.</t>
  </si>
  <si>
    <t>Administración de áreas y subáreas profesionales.</t>
  </si>
  <si>
    <t>Se asume una estructura simple de área y subárea. No incluye múltiples niveles ni reglas avanzadas de dependencia.</t>
  </si>
  <si>
    <t>HU-ADM-05</t>
  </si>
  <si>
    <t>Como administrador, quiero configurar las preguntas del diagnóstico inicial por subárea, para evaluar las habilidades del estudiante antes de iniciar su entrenamiento.</t>
  </si>
  <si>
    <t>Es más compleja que el pivote porque no solo configura preguntas, sino que las asocia a subáreas y criterios para generar resultados.</t>
  </si>
  <si>
    <t>Dado que el administrador selecciona una subárea, cuando registra preguntas, respuestas o criterios de evaluación, entonces el sistema guarda el diagnóstico inicial asociado a esa subárea.</t>
  </si>
  <si>
    <t>Dado que el administrador necesita actualizar el diagnóstico, cuando edita sus preguntas o criterios, entonces el sistema guarda los cambios para futuras evaluaciones.</t>
  </si>
  <si>
    <t>Dado que el diagnóstico no tiene preguntas suficientes o presenta datos inválidos, entonces el sistema no permite publicarlo y muestra qué debe corregirse.</t>
  </si>
  <si>
    <t>Configuración del diagnóstico inicial por subárea, con preguntas y criterios de evaluación.</t>
  </si>
  <si>
    <t>HU-ADM-06</t>
  </si>
  <si>
    <t>Configuración de Rutas de Aprendizaje</t>
  </si>
  <si>
    <t>Como administrador, quiero administrar recursos de SkillPath con enlaces externos y clasificación por habilidad, para recomendar cursos o materiales a los estudiantes.</t>
  </si>
  <si>
    <t>Es comparable al pivote porque es un CRUD de contenido con validaciones, pero sin procesamiento complejo.</t>
  </si>
  <si>
    <t>Dado que el administrador accede a SkillPath, cuando crea o edita un recurso con enlace, habilidad asociada y clasificación, entonces el sistema lo guarda y lo muestra en las recomendaciones correspondientes.</t>
  </si>
  <si>
    <t>Dado que el administrador desea desactivar un recurso, cuando cambia su estado, entonces el sistema deja de mostrarlo como recomendación sin eliminar su historial.</t>
  </si>
  <si>
    <t>Dado que el enlace, la habilidad asociada o la clasificación son inválidos, entonces el sistema no guarda el recurso y muestra la validación correspondiente.</t>
  </si>
  <si>
    <t>Gestión de recursos de SkillPath con enlace externo, habilidad asociada y clasificación.</t>
  </si>
  <si>
    <t>Los recursos son enlaces externos. PathFinder no gestiona el contenido del curso, solo lo registra y recomienda.</t>
  </si>
  <si>
    <t>HU-ADM-07</t>
  </si>
  <si>
    <t>Como administrador, quiero crear y configurar misiones con tareas, habilidades requeridas y XP otorgado, para que los estudiantes tengan retos prácticos disponibles.</t>
  </si>
  <si>
    <t>Es más compleja que el pivote porque combina misión, tareas internas, habilidades y reglas de recompensa.</t>
  </si>
  <si>
    <t>Dado que el administrador accede a la gestión de misiones, cuando registra una misión con sus tareas, habilidades y XP, entonces el sistema guarda la misión y la deja disponible según la subárea configurada.</t>
  </si>
  <si>
    <t>Dado que el administrador desea modificar una misión existente, cuando edita sus tareas o recompensas, entonces el sistema actualiza la misión para futuros estudiantes.</t>
  </si>
  <si>
    <t>Dado que la misión no tiene tareas suficientes, habilidades asociadas o XP válido, entonces el sistema no permite publicarla y muestra qué información falta corregir.</t>
  </si>
  <si>
    <t>Creación y configuración de misiones con tareas, habilidades requeridas y XP otorgado.</t>
  </si>
  <si>
    <t xml:space="preserve">Se asume que cada misión tendrá una estructura simple de tareas. </t>
  </si>
  <si>
    <t>HU-ADM-08</t>
  </si>
  <si>
    <t>Media</t>
  </si>
  <si>
    <t>Seguimiento y Control</t>
  </si>
  <si>
    <t>Como administrador, quiero consultar el avance básico de los estudiantes por etapa, para identificar su estado general dentro de PathFinder.</t>
  </si>
  <si>
    <t>Es comparable al pivote porque requiere consultar y mostrar información consolidada, pero sin analítica avanzada.</t>
  </si>
  <si>
    <t>Dado que el administrador accede al seguimiento de estudiantes, cuando consulta la lista, entonces el sistema muestra la etapa actual y estado general de avance de cada estudiante.</t>
  </si>
  <si>
    <t>Dado que el administrador desea revisar un caso específico, cuando selecciona un estudiante, entonces el sistema muestra su avance por proceso y subárea.</t>
  </si>
  <si>
    <t>Dado que no existen registros de avance para el estudiante consultado, entonces el sistema no muestra resultados y comunica la situación.</t>
  </si>
  <si>
    <t>Consulta del avance básico de estudiantes por etapa y subárea.</t>
  </si>
  <si>
    <t>HU-ADM-09</t>
  </si>
  <si>
    <t>Como administrador, quiero configurar una encuesta de satisfacción y revisar sus respuestas, para recoger retroalimentación sobre la experiencia de los estudiantes.</t>
  </si>
  <si>
    <t>Tiene complejidad media porque incluye edición de preguntas y visualización de respuestas, pero sin análisis estadístico.</t>
  </si>
  <si>
    <t>Dado que el administrador accede a la gestión de encuestas, cuando crea o edita preguntas de satisfacción, entonces el sistema guarda la encuesta y la deja disponible para los estudiantes al finalizar el proceso correspondiente.</t>
  </si>
  <si>
    <t>Dado que el administrador desea revisar respuestas recibidas, cuando abre la encuesta, entonces el sistema muestra las respuestas registradas por los estudiantes.</t>
  </si>
  <si>
    <t>Dado que la encuesta no tiene preguntas válidas o no existen respuestas registradas, entonces el sistema muestra la validación o informa que aún no hay datos disponibles.</t>
  </si>
  <si>
    <t>Configuración de encuesta de satisfacción y revisión básica de respuestas.</t>
  </si>
  <si>
    <t>Se asume una encuesta simple. No incluye dashboards de resultados, métricas comparativas ni exportación.</t>
  </si>
  <si>
    <t>HU-ADM-10</t>
  </si>
  <si>
    <t>Como administrador, quiero visualizar indicadores básicos de uso de la plataforma, para tener una referencia inicial del funcionamiento de PathFinder sin generar reportes avanzados.</t>
  </si>
  <si>
    <t>Es más compleja que el pivote porque consolida datos de varios módulos, como estudiantes, etapas, misiones y certificados.</t>
  </si>
  <si>
    <t>Dado que el administrador accede al panel de indicadores, cuando el sistema carga la información disponible, entonces muestra datos básicos como estudiantes registrados, etapas completadas, misiones finalizadas y certificados subidos.</t>
  </si>
  <si>
    <t>Dado que el administrador aplica filtros simples por área o subárea, cuando consulta los indicadores, entonces el sistema actualiza la información mostrada.</t>
  </si>
  <si>
    <t>Dado que no hay información suficiente o los indicadores no pueden calcularse, entonces el sistema muestra un mensaje indicando que los datos no están disponibles.</t>
  </si>
  <si>
    <t>Visualización de indicadores básicos de uso de la plataforma.</t>
  </si>
  <si>
    <t>Se asume un reporte básico con indicadores simples. No incluye gráficos avanzados, tendencias históricas, exportación ni analítica detallada.</t>
  </si>
  <si>
    <t>HU-ADM-11</t>
  </si>
  <si>
    <t>Como administrador, quiero contar con un registro de auditoría (logs) e integración SSO corporativo, para monitorear qué cambios se hacen y acceder de forma centralizada.</t>
  </si>
  <si>
    <t>Integración con Identity Providers (IdP) externos y almacenamiento seguro de logs transaccionales.</t>
  </si>
  <si>
    <t>Dado que el administrador inicia sesión vía SSO corporativo, cuando realiza cambios en la plataforma, entonces el sistema registra su ID, la fecha y la acción realizada en el log de auditoría.</t>
  </si>
  <si>
    <t>Dado que el administrador necesita revisar los cambios recientes, cuando accede al panel de auditoría, el sistema le muestra el historial de acciones de todos los administradores.</t>
  </si>
  <si>
    <t>Dado que ocurre un error de conexión con el proveedor SSO, entonces el sistema permite un acceso de respaldo (fallback) con credenciales manuales.</t>
  </si>
  <si>
    <t>Integración OIDC/SAML, middleware para guardar logs (quién hizo qué y a qué hora).</t>
  </si>
  <si>
    <t>La empresa cuenta con un directorio activo compatible (ej. Azure AD, Okta, Google Workspace).</t>
  </si>
  <si>
    <t>HU-ADM-12</t>
  </si>
  <si>
    <t>Baja</t>
  </si>
  <si>
    <t>NO</t>
  </si>
  <si>
    <t>Como administrador, quiero realizar carga masiva de usuarios vía CSV o API y bloquear cuentas, para gestionar grandes volúmenes de estudiantes de forma eficiente.</t>
  </si>
  <si>
    <t>Procesamiento en lote (batch processing) con necesidad de un buen manejo de excepciones.</t>
  </si>
  <si>
    <t>Dado que el administrador accede a la gestión de usuarios, cuando sube un archivo CSV con el formato correcto, entonces el sistema crea las cuentas de forma masiva y notifica a los usuarios.</t>
  </si>
  <si>
    <t>Dado que el administrador detecta un uso indebido, cuando selecciona un usuario y cambia su estado a "Bloqueado", entonces el sistema le revoca inmediatamente el acceso a la plataforma.</t>
  </si>
  <si>
    <t>Dado que el archivo CSV tiene errores de formato o correos duplicados, entonces el sistema rechaza la carga y muestra un reporte detallando las filas que deben corregirse.</t>
  </si>
  <si>
    <t>Parser de archivos CSV, validación de filas con errores (rollback), manejo de notificaciones masivas.</t>
  </si>
  <si>
    <t>El cliente usará una plantilla de Excel/CSV estandarizada por PathFinder.</t>
  </si>
  <si>
    <t>HU-ADM-13</t>
  </si>
  <si>
    <t>Como administrador, quiero configurar reglas para tests adaptativos e IA evaluadora, para que las evaluaciones se ajusten dinámicamente al nivel del estudiante.</t>
  </si>
  <si>
    <t>Alta complejidad algorítmica y conexión con Inteligencia Artificial para procesamiento en lenguaje natural.</t>
  </si>
  <si>
    <t>Dado que el administrador accede a la configuración de diagnósticos, cuando define parámetros de dificultad y reglas de IA, entonces el sistema ajusta el banco de preguntas dinámicas para futuras evaluaciones.</t>
  </si>
  <si>
    <t>Dado que el administrador quiere conectar un test externo, cuando ingresa las credenciales de la API del proveedor, entonces el sistema habilita el test externo en lugar del interno.</t>
  </si>
  <si>
    <t>Dado que los parámetros ingresados para la IA son contradictorios o la API externa no responde, entonces el sistema no guarda los cambios y mantiene la configuración manual por defecto.</t>
  </si>
  <si>
    <t>Definición de pesos y ramificaciones dinámicas, integración con API de LLM (OpenAI/Gemini).</t>
  </si>
  <si>
    <t>Las APIs de terceros responderán en tiempos aceptables para no frenar la experiencia.</t>
  </si>
  <si>
    <t>HU-ADM-14</t>
  </si>
  <si>
    <t>Como administrador, quiero sincronizar la estructura profesional con bases de datos externas (O*NET/LinkedIn) y mantener un versionado histórico, para que las áreas de la plataforma estén siempre alineadas al mercado.</t>
  </si>
  <si>
    <t>Modificar la arquitectura core para que soporte "versiones de mercado" requiere refactorización profunda.</t>
  </si>
  <si>
    <t>Dado que el administrador activa la sincronización, cuando el sistema se conecta a la API de LinkedIn/O*NET, entonces sugiere nuevas subáreas y actualiza las descripciones automáticamente.</t>
  </si>
  <si>
    <t>Dado que el administrador necesita consultar cómo era la estructura el año pasado, cuando selecciona una fecha anterior en el versionado histórico, entonces el sistema le muestra la vista de áreas de ese momento.</t>
  </si>
  <si>
    <t>Dado que la API externa cambia sus políticas o falla la conexión, entonces el sistema pausa la sincronización automática y alerta al administrador.</t>
  </si>
  <si>
    <t>Consumo de APIs externas, motor de control de versiones de bases de datos para estructuras de datos temporales.</t>
  </si>
  <si>
    <t>Las APIs externas (O*NET o similares) brindan acceso gratuito o el cliente asumirá el costo de licencia.</t>
  </si>
  <si>
    <t>HU-ADM-15</t>
  </si>
  <si>
    <t>Como administrador, quiero sincronizar catálogos de cursos mediante API (Coursera, Udemy) y contar con un notificador de enlaces rotos, para automatizar la oferta de recursos.</t>
  </si>
  <si>
    <t>Requiere procesos en segundo plano (background workers) para no saturar el servidor principal.</t>
  </si>
  <si>
    <t>Dado que el administrador configura la API de un proveedor (ej. Coursera), cuando el sistema sincroniza, entonces importa y clasifica automáticamente los cursos relacionados a las habilidades de PathFinder.</t>
  </si>
  <si>
    <t>Dado que el sistema realiza un escaneo de rutina, cuando detecta enlaces externos que ya no funcionan, entonces los oculta temporalmente y envía un reporte de "enlaces rotos" al administrador.</t>
  </si>
  <si>
    <t>Dado que la API del proveedor de cursos rechaza la conexión, entonces el sistema detiene la importación y notifica al administrador sobre el problema de credenciales.</t>
  </si>
  <si>
    <t>Tareas programadas (Cron jobs), ping HTTP a URLs externas, integración API Coursera/Udemy.</t>
  </si>
  <si>
    <t>Los proveedores externos ofrecen APIs públicas y accesibles para listar catálogos.</t>
  </si>
  <si>
    <t>HU-ADM-16</t>
  </si>
  <si>
    <t>Como administrador, quiero moderar misiones creadas por la comunidad (Co-creadores) y configurar reglas de dificultad adaptable, para escalar el contenido de retos prácticos.</t>
  </si>
  <si>
    <t>Implementación de máquina de estados para los contenidos y control de calidad colaborativo.</t>
  </si>
  <si>
    <t>Dado que un experto (Co-creador) envía una propuesta de misión, cuando el administrador la revisa y aprueba, entonces el sistema la publica en el catálogo oficial con la etiqueta correspondiente.</t>
  </si>
  <si>
    <t>Dado que el administrador configura la "dificultad adaptable", cuando un estudiante resuelve retos muy rápido, entonces el sistema automáticamente le ofrece las misiones de mayor complejidad.</t>
  </si>
  <si>
    <t>Dado que la misión propuesta por el co-creador incumple las políticas, cuando el administrador la rechaza, entonces el sistema le pide que adjunte un motivo y devuelve la misión a estado borrador.</t>
  </si>
  <si>
    <t>Flujo de aprobación (Draft -&gt; Pending -&gt; Published), sistema de notificaciones de aprobación/rechazo.</t>
  </si>
  <si>
    <t>Los usuarios con permiso de "Co-creador" podrán enviar propuestas a un buzón de moderación.</t>
  </si>
  <si>
    <t>HU-ADM-17</t>
  </si>
  <si>
    <t>Como administrador, quiero acceder a un dashboard predictivo y exportar reportes de brechas de habilidades (Skills Gap Analysis) a herramientas de BI, para tomar decisiones estratégicas.</t>
  </si>
  <si>
    <t>El análisis predictivo y la preparación de esquemas de datos para BI exige ingeniería de datos pura.</t>
  </si>
  <si>
    <t>Dado que el administrador accede al módulo de reportes avanzados, cuando genera el "Skills Gap Analysis", entonces el sistema muestra visualmente qué habilidades faltan más en la organización.</t>
  </si>
  <si>
    <t>Dado que el administrador necesita presentar la información en otra plataforma, cuando hace clic en "Exportar a PowerBI/Tableau", entonces el sistema genera el modelo de datos en el formato compatible.</t>
  </si>
  <si>
    <t>Dado que no hay volumen de datos suficiente para generar métricas predictivas, entonces el sistema oculta la proyección futura y muestra solo la data histórica real.</t>
  </si>
  <si>
    <t>Preparación de Data Marts (API endpoints específicos para BI), generación de CSV dinámicos o conexión OData.</t>
  </si>
  <si>
    <t>Habrá suficiente data histórica almacenada para que los modelos predictivos tengan sentido.</t>
  </si>
  <si>
    <t>Manuel - Melanie</t>
  </si>
  <si>
    <t>Camila - Silvana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</si>
</sst>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3F3F3"/>
      <name val="Arial"/>
      <scheme val="minor"/>
    </font>
    <font>
      <b/>
      <sz val="10.0"/>
      <color rgb="FFF3F3F3"/>
      <name val="Arial"/>
      <scheme val="minor"/>
    </font>
    <font/>
    <font>
      <color theme="1"/>
      <name val="Arial"/>
      <scheme val="minor"/>
    </font>
    <font>
      <sz val="14.0"/>
      <color theme="1"/>
      <name val="Arial"/>
    </font>
    <font>
      <sz val="10.0"/>
      <color theme="1"/>
      <name val="Arial"/>
      <scheme val="minor"/>
    </font>
    <font>
      <sz val="14.0"/>
      <color theme="1"/>
      <name val="Arial"/>
      <scheme val="minor"/>
    </font>
    <font>
      <sz val="14.0"/>
      <color theme="1"/>
      <name val="'Segoe UI'"/>
    </font>
  </fonts>
  <fills count="9">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E06666"/>
        <bgColor rgb="FFE06666"/>
      </patternFill>
    </fill>
    <fill>
      <patternFill patternType="solid">
        <fgColor rgb="FFF6F8F9"/>
        <bgColor rgb="FFF6F8F9"/>
      </patternFill>
    </fill>
    <fill>
      <patternFill patternType="solid">
        <fgColor rgb="FFD0E0E3"/>
        <bgColor rgb="FFD0E0E3"/>
      </patternFill>
    </fill>
    <fill>
      <patternFill patternType="solid">
        <fgColor rgb="FFFFD966"/>
        <bgColor rgb="FFFFD966"/>
      </patternFill>
    </fill>
    <fill>
      <patternFill patternType="solid">
        <fgColor rgb="FF93C47D"/>
        <bgColor rgb="FF93C47D"/>
      </patternFill>
    </fill>
  </fills>
  <borders count="9">
    <border/>
    <border>
      <left style="thin">
        <color rgb="FF999999"/>
      </left>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left style="thin">
        <color rgb="FF999999"/>
      </left>
      <right style="thin">
        <color rgb="FF999999"/>
      </right>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2" fontId="1" numFmtId="0" xfId="0" applyAlignment="1" applyBorder="1" applyFont="1">
      <alignment horizontal="center" readingOrder="0" shrinkToFit="0" vertical="center" wrapText="1"/>
    </xf>
    <xf borderId="7" fillId="2" fontId="1" numFmtId="0" xfId="0" applyAlignment="1" applyBorder="1" applyFont="1">
      <alignment horizontal="center" readingOrder="0" vertical="center"/>
    </xf>
    <xf borderId="7" fillId="3" fontId="4" numFmtId="0" xfId="0" applyAlignment="1" applyBorder="1" applyFill="1" applyFont="1">
      <alignment readingOrder="0" shrinkToFit="0" vertical="center" wrapText="1"/>
    </xf>
    <xf borderId="7" fillId="4" fontId="4" numFmtId="0" xfId="0" applyAlignment="1" applyBorder="1" applyFill="1" applyFont="1">
      <alignment readingOrder="0" shrinkToFit="0" vertical="center" wrapText="1"/>
    </xf>
    <xf borderId="1" fillId="3" fontId="4" numFmtId="0" xfId="0" applyAlignment="1" applyBorder="1" applyFont="1">
      <alignment readingOrder="0" shrinkToFit="0" vertical="center" wrapText="1"/>
    </xf>
    <xf borderId="0" fillId="3" fontId="5" numFmtId="0" xfId="0" applyAlignment="1" applyFont="1">
      <alignment readingOrder="0" shrinkToFit="0" vertical="center" wrapText="1"/>
    </xf>
    <xf borderId="1" fillId="3" fontId="6" numFmtId="0" xfId="0" applyAlignment="1" applyBorder="1" applyFont="1">
      <alignment horizontal="center" readingOrder="0" shrinkToFit="0" vertical="center" wrapText="1"/>
    </xf>
    <xf borderId="8" fillId="3" fontId="4" numFmtId="0" xfId="0" applyAlignment="1" applyBorder="1" applyFont="1">
      <alignment readingOrder="0" shrinkToFit="0" vertical="center" wrapText="1"/>
    </xf>
    <xf borderId="5" fillId="5" fontId="3" numFmtId="0" xfId="0" applyBorder="1" applyFill="1" applyFont="1"/>
    <xf borderId="0" fillId="3" fontId="7" numFmtId="0" xfId="0" applyAlignment="1" applyFont="1">
      <alignment readingOrder="0" vertical="center"/>
    </xf>
    <xf borderId="8" fillId="5" fontId="4" numFmtId="0" xfId="0" applyAlignment="1" applyBorder="1" applyFont="1">
      <alignment readingOrder="0" shrinkToFit="0" vertical="center" wrapText="1"/>
    </xf>
    <xf borderId="0" fillId="3" fontId="8" numFmtId="0" xfId="0" applyAlignment="1" applyFont="1">
      <alignment readingOrder="0" vertical="center"/>
    </xf>
    <xf borderId="8" fillId="6" fontId="4" numFmtId="0" xfId="0" applyAlignment="1" applyBorder="1" applyFill="1" applyFont="1">
      <alignment readingOrder="0" shrinkToFit="0" vertical="center" wrapText="1"/>
    </xf>
    <xf borderId="6" fillId="5" fontId="3" numFmtId="0" xfId="0" applyBorder="1" applyFont="1"/>
    <xf borderId="5" fillId="3" fontId="3" numFmtId="0" xfId="0" applyBorder="1" applyFont="1"/>
    <xf borderId="7" fillId="7" fontId="4" numFmtId="0" xfId="0" applyAlignment="1" applyBorder="1" applyFill="1" applyFont="1">
      <alignment readingOrder="0" shrinkToFit="0" vertical="center" wrapText="1"/>
    </xf>
    <xf borderId="6" fillId="3" fontId="3" numFmtId="0" xfId="0" applyBorder="1" applyFont="1"/>
    <xf borderId="8" fillId="0" fontId="4" numFmtId="0" xfId="0" applyAlignment="1" applyBorder="1" applyFont="1">
      <alignment readingOrder="0" shrinkToFit="0" vertical="center" wrapText="1"/>
    </xf>
    <xf borderId="7" fillId="8" fontId="4" numFmtId="0" xfId="0" applyAlignment="1" applyBorder="1" applyFill="1" applyFont="1">
      <alignment readingOrder="0" shrinkToFit="0" vertical="center" wrapText="1"/>
    </xf>
    <xf borderId="0" fillId="3" fontId="5" numFmtId="0" xfId="0" applyAlignment="1" applyFont="1">
      <alignment readingOrder="0" vertical="center"/>
    </xf>
    <xf borderId="0" fillId="0" fontId="4" numFmtId="0" xfId="0" applyAlignment="1" applyFont="1">
      <alignment shrinkToFit="0" vertical="center" wrapText="1"/>
    </xf>
    <xf borderId="0" fillId="3" fontId="7" numFmtId="0" xfId="0" applyAlignment="1" applyFont="1">
      <alignment shrinkToFit="0" vertical="center" wrapText="1"/>
    </xf>
    <xf borderId="0" fillId="0" fontId="6" numFmtId="0" xfId="0" applyAlignment="1" applyFont="1">
      <alignment vertical="center"/>
    </xf>
    <xf borderId="0" fillId="3" fontId="4" numFmtId="0" xfId="0" applyAlignment="1" applyFont="1">
      <alignment readingOrder="0" shrinkToFit="0" vertical="center" wrapText="1"/>
    </xf>
    <xf borderId="0" fillId="0" fontId="4" numFmtId="0" xfId="0" applyAlignment="1" applyFont="1">
      <alignment readingOrder="0"/>
    </xf>
    <xf borderId="0" fillId="0"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15.63"/>
    <col customWidth="1" min="3" max="5" width="26.5"/>
    <col customWidth="1" min="6" max="6" width="70.63"/>
    <col customWidth="1" min="8" max="8" width="29.88"/>
    <col customWidth="1" min="9" max="11" width="58.88"/>
    <col customWidth="1" min="12" max="12" width="33.88"/>
    <col customWidth="1" min="13" max="13" width="32.25"/>
  </cols>
  <sheetData>
    <row r="1">
      <c r="A1" s="1" t="s">
        <v>0</v>
      </c>
      <c r="B1" s="1" t="s">
        <v>1</v>
      </c>
      <c r="C1" s="1" t="s">
        <v>2</v>
      </c>
      <c r="D1" s="1" t="s">
        <v>3</v>
      </c>
      <c r="E1" s="2" t="s">
        <v>4</v>
      </c>
      <c r="F1" s="1" t="s">
        <v>5</v>
      </c>
      <c r="G1" s="3" t="s">
        <v>6</v>
      </c>
      <c r="H1" s="3" t="s">
        <v>7</v>
      </c>
      <c r="I1" s="4" t="s">
        <v>8</v>
      </c>
      <c r="J1" s="5"/>
      <c r="K1" s="6"/>
      <c r="L1" s="3" t="s">
        <v>9</v>
      </c>
      <c r="M1" s="3" t="s">
        <v>10</v>
      </c>
    </row>
    <row r="2">
      <c r="A2" s="7"/>
      <c r="B2" s="7"/>
      <c r="C2" s="7"/>
      <c r="D2" s="7"/>
      <c r="E2" s="7"/>
      <c r="F2" s="7"/>
      <c r="G2" s="8"/>
      <c r="H2" s="8"/>
      <c r="I2" s="9" t="s">
        <v>11</v>
      </c>
      <c r="J2" s="10" t="s">
        <v>12</v>
      </c>
      <c r="K2" s="10" t="s">
        <v>13</v>
      </c>
      <c r="L2" s="8"/>
      <c r="M2" s="8"/>
    </row>
    <row r="3">
      <c r="A3" s="11" t="s">
        <v>14</v>
      </c>
      <c r="B3" s="12" t="s">
        <v>15</v>
      </c>
      <c r="C3" s="13" t="s">
        <v>16</v>
      </c>
      <c r="D3" s="14" t="s">
        <v>17</v>
      </c>
      <c r="E3" s="15" t="s">
        <v>18</v>
      </c>
      <c r="F3" s="11" t="s">
        <v>19</v>
      </c>
      <c r="G3" s="11">
        <v>3.0</v>
      </c>
      <c r="H3" s="11" t="s">
        <v>20</v>
      </c>
      <c r="I3" s="11" t="s">
        <v>21</v>
      </c>
      <c r="J3" s="11" t="s">
        <v>22</v>
      </c>
      <c r="K3" s="11" t="s">
        <v>23</v>
      </c>
      <c r="L3" s="16" t="s">
        <v>24</v>
      </c>
      <c r="M3" s="16" t="s">
        <v>25</v>
      </c>
    </row>
    <row r="4">
      <c r="A4" s="11" t="s">
        <v>26</v>
      </c>
      <c r="B4" s="12" t="s">
        <v>15</v>
      </c>
      <c r="C4" s="17"/>
      <c r="D4" s="18" t="s">
        <v>27</v>
      </c>
      <c r="E4" s="15" t="s">
        <v>28</v>
      </c>
      <c r="F4" s="11" t="s">
        <v>29</v>
      </c>
      <c r="G4" s="11">
        <v>5.0</v>
      </c>
      <c r="H4" s="11" t="s">
        <v>30</v>
      </c>
      <c r="I4" s="11" t="s">
        <v>31</v>
      </c>
      <c r="J4" s="11" t="s">
        <v>32</v>
      </c>
      <c r="K4" s="11" t="s">
        <v>33</v>
      </c>
      <c r="L4" s="19" t="s">
        <v>34</v>
      </c>
      <c r="M4" s="19" t="s">
        <v>35</v>
      </c>
    </row>
    <row r="5">
      <c r="A5" s="11" t="s">
        <v>36</v>
      </c>
      <c r="B5" s="12" t="s">
        <v>15</v>
      </c>
      <c r="C5" s="13" t="s">
        <v>37</v>
      </c>
      <c r="D5" s="20" t="s">
        <v>38</v>
      </c>
      <c r="E5" s="15" t="s">
        <v>28</v>
      </c>
      <c r="F5" s="11" t="s">
        <v>39</v>
      </c>
      <c r="G5" s="11">
        <v>5.0</v>
      </c>
      <c r="H5" s="11" t="s">
        <v>40</v>
      </c>
      <c r="I5" s="11" t="s">
        <v>41</v>
      </c>
      <c r="J5" s="11" t="s">
        <v>42</v>
      </c>
      <c r="K5" s="11" t="s">
        <v>43</v>
      </c>
      <c r="L5" s="21" t="s">
        <v>44</v>
      </c>
      <c r="M5" s="21" t="s">
        <v>45</v>
      </c>
    </row>
    <row r="6">
      <c r="A6" s="11" t="s">
        <v>46</v>
      </c>
      <c r="B6" s="12" t="s">
        <v>15</v>
      </c>
      <c r="C6" s="22"/>
      <c r="D6" s="20" t="s">
        <v>38</v>
      </c>
      <c r="E6" s="15" t="s">
        <v>47</v>
      </c>
      <c r="F6" s="11" t="s">
        <v>48</v>
      </c>
      <c r="G6" s="11">
        <v>5.0</v>
      </c>
      <c r="H6" s="11" t="s">
        <v>49</v>
      </c>
      <c r="I6" s="11" t="s">
        <v>50</v>
      </c>
      <c r="J6" s="11" t="s">
        <v>51</v>
      </c>
      <c r="K6" s="11" t="s">
        <v>52</v>
      </c>
      <c r="L6" s="19" t="s">
        <v>53</v>
      </c>
      <c r="M6" s="19" t="s">
        <v>54</v>
      </c>
    </row>
    <row r="7">
      <c r="A7" s="11" t="s">
        <v>55</v>
      </c>
      <c r="B7" s="12" t="s">
        <v>15</v>
      </c>
      <c r="C7" s="23"/>
      <c r="D7" s="20" t="s">
        <v>38</v>
      </c>
      <c r="E7" s="15" t="s">
        <v>47</v>
      </c>
      <c r="F7" s="11" t="s">
        <v>56</v>
      </c>
      <c r="G7" s="11">
        <v>8.0</v>
      </c>
      <c r="H7" s="11" t="s">
        <v>57</v>
      </c>
      <c r="I7" s="11" t="s">
        <v>58</v>
      </c>
      <c r="J7" s="11" t="s">
        <v>59</v>
      </c>
      <c r="K7" s="11" t="s">
        <v>60</v>
      </c>
      <c r="L7" s="16" t="s">
        <v>61</v>
      </c>
      <c r="M7" s="16"/>
    </row>
    <row r="8">
      <c r="A8" s="11" t="s">
        <v>62</v>
      </c>
      <c r="B8" s="12" t="s">
        <v>15</v>
      </c>
      <c r="C8" s="13" t="s">
        <v>63</v>
      </c>
      <c r="D8" s="18" t="s">
        <v>27</v>
      </c>
      <c r="E8" s="15" t="s">
        <v>47</v>
      </c>
      <c r="F8" s="11" t="s">
        <v>64</v>
      </c>
      <c r="G8" s="11">
        <v>5.0</v>
      </c>
      <c r="H8" s="11" t="s">
        <v>65</v>
      </c>
      <c r="I8" s="11" t="s">
        <v>66</v>
      </c>
      <c r="J8" s="11" t="s">
        <v>67</v>
      </c>
      <c r="K8" s="11" t="s">
        <v>68</v>
      </c>
      <c r="L8" s="19" t="s">
        <v>69</v>
      </c>
      <c r="M8" s="19" t="s">
        <v>70</v>
      </c>
    </row>
    <row r="9">
      <c r="A9" s="11" t="s">
        <v>71</v>
      </c>
      <c r="B9" s="12" t="s">
        <v>15</v>
      </c>
      <c r="C9" s="23"/>
      <c r="D9" s="18" t="s">
        <v>27</v>
      </c>
      <c r="E9" s="15" t="s">
        <v>47</v>
      </c>
      <c r="F9" s="11" t="s">
        <v>72</v>
      </c>
      <c r="G9" s="11">
        <v>8.0</v>
      </c>
      <c r="H9" s="11" t="s">
        <v>73</v>
      </c>
      <c r="I9" s="11" t="s">
        <v>74</v>
      </c>
      <c r="J9" s="11" t="s">
        <v>75</v>
      </c>
      <c r="K9" s="11" t="s">
        <v>76</v>
      </c>
      <c r="L9" s="16" t="s">
        <v>77</v>
      </c>
      <c r="M9" s="16" t="s">
        <v>78</v>
      </c>
    </row>
    <row r="10">
      <c r="A10" s="11" t="s">
        <v>79</v>
      </c>
      <c r="B10" s="24" t="s">
        <v>80</v>
      </c>
      <c r="C10" s="13" t="s">
        <v>81</v>
      </c>
      <c r="D10" s="20" t="s">
        <v>38</v>
      </c>
      <c r="E10" s="15" t="s">
        <v>47</v>
      </c>
      <c r="F10" s="11" t="s">
        <v>82</v>
      </c>
      <c r="G10" s="11">
        <v>5.0</v>
      </c>
      <c r="H10" s="11" t="s">
        <v>83</v>
      </c>
      <c r="I10" s="11" t="s">
        <v>84</v>
      </c>
      <c r="J10" s="11" t="s">
        <v>85</v>
      </c>
      <c r="K10" s="11" t="s">
        <v>86</v>
      </c>
      <c r="L10" s="19" t="s">
        <v>87</v>
      </c>
      <c r="M10" s="19"/>
    </row>
    <row r="11">
      <c r="A11" s="11" t="s">
        <v>88</v>
      </c>
      <c r="B11" s="12" t="s">
        <v>15</v>
      </c>
      <c r="C11" s="25"/>
      <c r="D11" s="20" t="s">
        <v>38</v>
      </c>
      <c r="E11" s="15" t="s">
        <v>47</v>
      </c>
      <c r="F11" s="11" t="s">
        <v>89</v>
      </c>
      <c r="G11" s="11">
        <v>5.0</v>
      </c>
      <c r="H11" s="11" t="s">
        <v>90</v>
      </c>
      <c r="I11" s="11" t="s">
        <v>91</v>
      </c>
      <c r="J11" s="11" t="s">
        <v>92</v>
      </c>
      <c r="K11" s="11" t="s">
        <v>93</v>
      </c>
      <c r="L11" s="16" t="s">
        <v>94</v>
      </c>
      <c r="M11" s="16" t="s">
        <v>95</v>
      </c>
    </row>
    <row r="12">
      <c r="A12" s="11" t="s">
        <v>96</v>
      </c>
      <c r="B12" s="24" t="s">
        <v>80</v>
      </c>
      <c r="C12" s="17"/>
      <c r="D12" s="18" t="s">
        <v>27</v>
      </c>
      <c r="E12" s="15" t="s">
        <v>47</v>
      </c>
      <c r="F12" s="11" t="s">
        <v>97</v>
      </c>
      <c r="G12" s="11">
        <v>8.0</v>
      </c>
      <c r="H12" s="11" t="s">
        <v>98</v>
      </c>
      <c r="I12" s="11" t="s">
        <v>99</v>
      </c>
      <c r="J12" s="11" t="s">
        <v>100</v>
      </c>
      <c r="K12" s="11" t="s">
        <v>101</v>
      </c>
      <c r="L12" s="19" t="s">
        <v>102</v>
      </c>
      <c r="M12" s="19" t="s">
        <v>103</v>
      </c>
    </row>
    <row r="13">
      <c r="A13" s="11" t="s">
        <v>104</v>
      </c>
      <c r="B13" s="24" t="s">
        <v>80</v>
      </c>
      <c r="C13" s="13" t="s">
        <v>16</v>
      </c>
      <c r="D13" s="18" t="s">
        <v>27</v>
      </c>
      <c r="E13" s="15" t="s">
        <v>47</v>
      </c>
      <c r="F13" s="11" t="s">
        <v>105</v>
      </c>
      <c r="G13" s="11">
        <v>8.0</v>
      </c>
      <c r="H13" s="11" t="s">
        <v>106</v>
      </c>
      <c r="I13" s="11" t="s">
        <v>107</v>
      </c>
      <c r="J13" s="11" t="s">
        <v>108</v>
      </c>
      <c r="K13" s="11" t="s">
        <v>109</v>
      </c>
      <c r="L13" s="26" t="s">
        <v>110</v>
      </c>
      <c r="M13" s="26" t="s">
        <v>111</v>
      </c>
    </row>
    <row r="14">
      <c r="A14" s="11" t="s">
        <v>112</v>
      </c>
      <c r="B14" s="27" t="s">
        <v>113</v>
      </c>
      <c r="C14" s="7"/>
      <c r="D14" s="28" t="s">
        <v>114</v>
      </c>
      <c r="E14" s="15" t="s">
        <v>47</v>
      </c>
      <c r="F14" s="11" t="s">
        <v>115</v>
      </c>
      <c r="G14" s="11">
        <v>8.0</v>
      </c>
      <c r="H14" s="11" t="s">
        <v>116</v>
      </c>
      <c r="I14" s="11" t="s">
        <v>117</v>
      </c>
      <c r="J14" s="11" t="s">
        <v>118</v>
      </c>
      <c r="K14" s="11" t="s">
        <v>119</v>
      </c>
      <c r="L14" s="26" t="s">
        <v>120</v>
      </c>
      <c r="M14" s="26" t="s">
        <v>121</v>
      </c>
    </row>
    <row r="15">
      <c r="A15" s="11" t="s">
        <v>122</v>
      </c>
      <c r="B15" s="27" t="s">
        <v>113</v>
      </c>
      <c r="C15" s="13" t="s">
        <v>37</v>
      </c>
      <c r="D15" s="28" t="s">
        <v>114</v>
      </c>
      <c r="E15" s="15" t="s">
        <v>47</v>
      </c>
      <c r="F15" s="11" t="s">
        <v>123</v>
      </c>
      <c r="G15" s="11">
        <v>13.0</v>
      </c>
      <c r="H15" s="11" t="s">
        <v>124</v>
      </c>
      <c r="I15" s="11" t="s">
        <v>125</v>
      </c>
      <c r="J15" s="11" t="s">
        <v>126</v>
      </c>
      <c r="K15" s="11" t="s">
        <v>127</v>
      </c>
      <c r="L15" s="26" t="s">
        <v>128</v>
      </c>
      <c r="M15" s="26" t="s">
        <v>129</v>
      </c>
    </row>
    <row r="16">
      <c r="A16" s="11" t="s">
        <v>130</v>
      </c>
      <c r="B16" s="27" t="s">
        <v>113</v>
      </c>
      <c r="C16" s="7"/>
      <c r="D16" s="28" t="s">
        <v>114</v>
      </c>
      <c r="E16" s="15" t="s">
        <v>47</v>
      </c>
      <c r="F16" s="11" t="s">
        <v>131</v>
      </c>
      <c r="G16" s="11">
        <v>13.0</v>
      </c>
      <c r="H16" s="11" t="s">
        <v>132</v>
      </c>
      <c r="I16" s="11" t="s">
        <v>133</v>
      </c>
      <c r="J16" s="11" t="s">
        <v>134</v>
      </c>
      <c r="K16" s="11" t="s">
        <v>135</v>
      </c>
      <c r="L16" s="26" t="s">
        <v>136</v>
      </c>
      <c r="M16" s="26" t="s">
        <v>137</v>
      </c>
    </row>
    <row r="17">
      <c r="A17" s="11" t="s">
        <v>138</v>
      </c>
      <c r="B17" s="27" t="s">
        <v>113</v>
      </c>
      <c r="C17" s="13" t="s">
        <v>63</v>
      </c>
      <c r="D17" s="28" t="s">
        <v>114</v>
      </c>
      <c r="E17" s="15" t="s">
        <v>47</v>
      </c>
      <c r="F17" s="11" t="s">
        <v>139</v>
      </c>
      <c r="G17" s="11">
        <v>8.0</v>
      </c>
      <c r="H17" s="11" t="s">
        <v>140</v>
      </c>
      <c r="I17" s="11" t="s">
        <v>141</v>
      </c>
      <c r="J17" s="11" t="s">
        <v>142</v>
      </c>
      <c r="K17" s="11" t="s">
        <v>143</v>
      </c>
      <c r="L17" s="26" t="s">
        <v>144</v>
      </c>
      <c r="M17" s="26" t="s">
        <v>145</v>
      </c>
    </row>
    <row r="18">
      <c r="A18" s="11" t="s">
        <v>146</v>
      </c>
      <c r="B18" s="27" t="s">
        <v>113</v>
      </c>
      <c r="C18" s="7"/>
      <c r="D18" s="28" t="s">
        <v>114</v>
      </c>
      <c r="E18" s="15" t="s">
        <v>47</v>
      </c>
      <c r="F18" s="11" t="s">
        <v>147</v>
      </c>
      <c r="G18" s="11">
        <v>8.0</v>
      </c>
      <c r="H18" s="11" t="s">
        <v>148</v>
      </c>
      <c r="I18" s="11" t="s">
        <v>149</v>
      </c>
      <c r="J18" s="11" t="s">
        <v>150</v>
      </c>
      <c r="K18" s="11" t="s">
        <v>151</v>
      </c>
      <c r="L18" s="26" t="s">
        <v>152</v>
      </c>
      <c r="M18" s="26" t="s">
        <v>153</v>
      </c>
    </row>
    <row r="19">
      <c r="A19" s="11" t="s">
        <v>154</v>
      </c>
      <c r="B19" s="27" t="s">
        <v>113</v>
      </c>
      <c r="C19" s="11" t="s">
        <v>81</v>
      </c>
      <c r="D19" s="28" t="s">
        <v>114</v>
      </c>
      <c r="E19" s="15" t="s">
        <v>47</v>
      </c>
      <c r="F19" s="11" t="s">
        <v>155</v>
      </c>
      <c r="G19" s="11">
        <v>13.0</v>
      </c>
      <c r="H19" s="11" t="s">
        <v>156</v>
      </c>
      <c r="I19" s="11" t="s">
        <v>157</v>
      </c>
      <c r="J19" s="11" t="s">
        <v>158</v>
      </c>
      <c r="K19" s="11" t="s">
        <v>159</v>
      </c>
      <c r="L19" s="26" t="s">
        <v>160</v>
      </c>
      <c r="M19" s="26" t="s">
        <v>161</v>
      </c>
    </row>
    <row r="20">
      <c r="C20" s="29"/>
      <c r="D20" s="30"/>
      <c r="E20" s="31"/>
      <c r="G20" s="32"/>
      <c r="H20" s="32"/>
      <c r="L20" s="32"/>
      <c r="M20" s="32"/>
    </row>
    <row r="21">
      <c r="C21" s="29"/>
      <c r="D21" s="30"/>
      <c r="E21" s="31"/>
    </row>
    <row r="22">
      <c r="C22" s="29"/>
      <c r="D22" s="30"/>
      <c r="E22" s="31"/>
      <c r="F22" s="33" t="s">
        <v>162</v>
      </c>
      <c r="G22" s="34">
        <f>SUMIF($D:$D,"Manuel-Melanie",$G:$G)</f>
        <v>34</v>
      </c>
    </row>
    <row r="23">
      <c r="C23" s="29"/>
      <c r="D23" s="30"/>
      <c r="E23" s="31"/>
      <c r="F23" s="33" t="s">
        <v>163</v>
      </c>
      <c r="G23" s="34">
        <f>SUMIF($D:$D,"Camila-Silvana",$G:$G)</f>
        <v>28</v>
      </c>
    </row>
  </sheetData>
  <mergeCells count="18">
    <mergeCell ref="H1:H2"/>
    <mergeCell ref="I1:K1"/>
    <mergeCell ref="L1:L2"/>
    <mergeCell ref="M1:M2"/>
    <mergeCell ref="C3:C4"/>
    <mergeCell ref="C5:C7"/>
    <mergeCell ref="C8:C9"/>
    <mergeCell ref="C10:C12"/>
    <mergeCell ref="C13:C14"/>
    <mergeCell ref="C15:C16"/>
    <mergeCell ref="C17:C18"/>
    <mergeCell ref="A1:A2"/>
    <mergeCell ref="B1:B2"/>
    <mergeCell ref="C1:C2"/>
    <mergeCell ref="D1:D2"/>
    <mergeCell ref="E1:E2"/>
    <mergeCell ref="F1:F2"/>
    <mergeCell ref="G1:G2"/>
  </mergeCells>
  <dataValidations>
    <dataValidation type="list" allowBlank="1" showErrorMessage="1" sqref="E3:E19">
      <formula1>"No iniciado,En progreso,Completado"</formula1>
    </dataValidation>
  </dataValidations>
  <printOptions gridLines="1" horizontalCentered="1"/>
  <pageMargins bottom="0.75" footer="0.0" header="0.0" left="0.7" right="0.7" top="0.75"/>
  <pageSetup fitToHeight="0" paperSize="9" cellComments="atEnd" orientation="landscape" pageOrder="overThenDown"/>
  <drawing r:id="rId1"/>
</worksheet>
</file>